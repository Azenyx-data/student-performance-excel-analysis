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CT\OneDrive\Documents\CHATGPT DATA PRACTICE\"/>
    </mc:Choice>
  </mc:AlternateContent>
  <xr:revisionPtr revIDLastSave="0" documentId="11_529853DA0CF0A8B672FCF750B5875ED96104112A" xr6:coauthVersionLast="47" xr6:coauthVersionMax="47" xr10:uidLastSave="{00000000-0000-0000-0000-000000000000}"/>
  <workbookProtection lockStructure="1"/>
  <bookViews>
    <workbookView xWindow="0" yWindow="0" windowWidth="19200" windowHeight="8040" activeTab="1" xr2:uid="{00000000-000D-0000-FFFF-FFFF00000000}"/>
  </bookViews>
  <sheets>
    <sheet name="RAW_DATA" sheetId="4" r:id="rId1"/>
    <sheet name="CLEANED_DATA" sheetId="1" r:id="rId2"/>
    <sheet name="ANALYSIS" sheetId="3" r:id="rId3"/>
    <sheet name="KPI" sheetId="2" r:id="rId4"/>
  </sheets>
  <definedNames>
    <definedName name="_xlnm._FilterDatabase" localSheetId="1" hidden="1">CLEANED_DATA!$C$2:$C$1001</definedName>
    <definedName name="_xlnm.Extract" localSheetId="1">CLEANED_DATA!$R$3:$R$12</definedName>
    <definedName name="total_number_of_student">ANALYSIS!$B$2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L5" i="1"/>
  <c r="M5" i="1"/>
  <c r="J6" i="1"/>
  <c r="K6" i="1"/>
  <c r="L6" i="1"/>
  <c r="M6" i="1"/>
  <c r="J9" i="1"/>
  <c r="K9" i="1"/>
  <c r="L9" i="1"/>
  <c r="M9" i="1"/>
  <c r="J10" i="1"/>
  <c r="K10" i="1"/>
  <c r="L10" i="1"/>
  <c r="M10" i="1"/>
  <c r="J1001" i="1"/>
  <c r="K1001" i="1"/>
  <c r="L1001" i="1"/>
  <c r="M1001" i="1"/>
  <c r="J1000" i="1"/>
  <c r="K1000" i="1"/>
  <c r="L1000" i="1"/>
  <c r="M1000" i="1"/>
  <c r="J999" i="1"/>
  <c r="K999" i="1"/>
  <c r="L999" i="1"/>
  <c r="M999" i="1"/>
  <c r="J998" i="1"/>
  <c r="K998" i="1"/>
  <c r="L998" i="1"/>
  <c r="M998" i="1"/>
  <c r="J997" i="1"/>
  <c r="K997" i="1"/>
  <c r="L997" i="1"/>
  <c r="M997" i="1"/>
  <c r="J996" i="1"/>
  <c r="K996" i="1"/>
  <c r="L996" i="1"/>
  <c r="M996" i="1"/>
  <c r="J995" i="1"/>
  <c r="K995" i="1"/>
  <c r="L995" i="1"/>
  <c r="M995" i="1"/>
  <c r="J994" i="1"/>
  <c r="K994" i="1"/>
  <c r="L994" i="1"/>
  <c r="M994" i="1"/>
  <c r="J993" i="1"/>
  <c r="K993" i="1"/>
  <c r="L993" i="1"/>
  <c r="M993" i="1"/>
  <c r="J992" i="1"/>
  <c r="K992" i="1"/>
  <c r="L992" i="1"/>
  <c r="M992" i="1"/>
  <c r="J991" i="1"/>
  <c r="K991" i="1"/>
  <c r="L991" i="1"/>
  <c r="M991" i="1"/>
  <c r="J990" i="1"/>
  <c r="K990" i="1"/>
  <c r="L990" i="1"/>
  <c r="M990" i="1"/>
  <c r="J989" i="1"/>
  <c r="K989" i="1"/>
  <c r="L989" i="1"/>
  <c r="M989" i="1"/>
  <c r="J988" i="1"/>
  <c r="K988" i="1"/>
  <c r="L988" i="1"/>
  <c r="M988" i="1"/>
  <c r="J987" i="1"/>
  <c r="K987" i="1"/>
  <c r="L987" i="1"/>
  <c r="M987" i="1"/>
  <c r="J986" i="1"/>
  <c r="K986" i="1"/>
  <c r="L986" i="1"/>
  <c r="M986" i="1"/>
  <c r="J985" i="1"/>
  <c r="K985" i="1"/>
  <c r="L985" i="1"/>
  <c r="M985" i="1"/>
  <c r="J984" i="1"/>
  <c r="K984" i="1"/>
  <c r="L984" i="1"/>
  <c r="M984" i="1"/>
  <c r="J983" i="1"/>
  <c r="K983" i="1"/>
  <c r="L983" i="1"/>
  <c r="M983" i="1"/>
  <c r="J982" i="1"/>
  <c r="K982" i="1"/>
  <c r="L982" i="1"/>
  <c r="M982" i="1"/>
  <c r="J981" i="1"/>
  <c r="K981" i="1"/>
  <c r="L981" i="1"/>
  <c r="M981" i="1"/>
  <c r="J980" i="1"/>
  <c r="K980" i="1"/>
  <c r="L980" i="1"/>
  <c r="M980" i="1"/>
  <c r="J979" i="1"/>
  <c r="K979" i="1"/>
  <c r="L979" i="1"/>
  <c r="M979" i="1"/>
  <c r="J978" i="1"/>
  <c r="K978" i="1"/>
  <c r="L978" i="1"/>
  <c r="M978" i="1"/>
  <c r="J977" i="1"/>
  <c r="K977" i="1"/>
  <c r="L977" i="1"/>
  <c r="M977" i="1"/>
  <c r="J976" i="1"/>
  <c r="K976" i="1"/>
  <c r="L976" i="1"/>
  <c r="M976" i="1"/>
  <c r="J975" i="1"/>
  <c r="K975" i="1"/>
  <c r="L975" i="1"/>
  <c r="M975" i="1"/>
  <c r="J974" i="1"/>
  <c r="K974" i="1"/>
  <c r="L974" i="1"/>
  <c r="M974" i="1"/>
  <c r="J973" i="1"/>
  <c r="K973" i="1"/>
  <c r="L973" i="1"/>
  <c r="M973" i="1"/>
  <c r="J972" i="1"/>
  <c r="K972" i="1"/>
  <c r="L972" i="1"/>
  <c r="M972" i="1"/>
  <c r="J971" i="1"/>
  <c r="K971" i="1"/>
  <c r="L971" i="1"/>
  <c r="M971" i="1"/>
  <c r="J970" i="1"/>
  <c r="K970" i="1"/>
  <c r="L970" i="1"/>
  <c r="M970" i="1"/>
  <c r="J969" i="1"/>
  <c r="K969" i="1"/>
  <c r="L969" i="1"/>
  <c r="M969" i="1"/>
  <c r="J968" i="1"/>
  <c r="K968" i="1"/>
  <c r="L968" i="1"/>
  <c r="M968" i="1"/>
  <c r="J967" i="1"/>
  <c r="K967" i="1"/>
  <c r="L967" i="1"/>
  <c r="M967" i="1"/>
  <c r="J966" i="1"/>
  <c r="K966" i="1"/>
  <c r="L966" i="1"/>
  <c r="M966" i="1"/>
  <c r="J965" i="1"/>
  <c r="K965" i="1"/>
  <c r="L965" i="1"/>
  <c r="M965" i="1"/>
  <c r="J964" i="1"/>
  <c r="K964" i="1"/>
  <c r="L964" i="1"/>
  <c r="M964" i="1"/>
  <c r="J963" i="1"/>
  <c r="K963" i="1"/>
  <c r="L963" i="1"/>
  <c r="M963" i="1"/>
  <c r="J962" i="1"/>
  <c r="K962" i="1"/>
  <c r="L962" i="1"/>
  <c r="M962" i="1"/>
  <c r="J961" i="1"/>
  <c r="K961" i="1"/>
  <c r="L961" i="1"/>
  <c r="M961" i="1"/>
  <c r="J960" i="1"/>
  <c r="K960" i="1"/>
  <c r="L960" i="1"/>
  <c r="M960" i="1"/>
  <c r="J959" i="1"/>
  <c r="K959" i="1"/>
  <c r="L959" i="1"/>
  <c r="M959" i="1"/>
  <c r="J958" i="1"/>
  <c r="K958" i="1"/>
  <c r="L958" i="1"/>
  <c r="M958" i="1"/>
  <c r="J957" i="1"/>
  <c r="K957" i="1"/>
  <c r="L957" i="1"/>
  <c r="M957" i="1"/>
  <c r="J956" i="1"/>
  <c r="K956" i="1"/>
  <c r="L956" i="1"/>
  <c r="M956" i="1"/>
  <c r="J955" i="1"/>
  <c r="K955" i="1"/>
  <c r="L955" i="1"/>
  <c r="M955" i="1"/>
  <c r="J954" i="1"/>
  <c r="K954" i="1"/>
  <c r="L954" i="1"/>
  <c r="M954" i="1"/>
  <c r="J953" i="1"/>
  <c r="K953" i="1"/>
  <c r="L953" i="1"/>
  <c r="M953" i="1"/>
  <c r="J952" i="1"/>
  <c r="K952" i="1"/>
  <c r="L952" i="1"/>
  <c r="M952" i="1"/>
  <c r="J951" i="1"/>
  <c r="K951" i="1"/>
  <c r="L951" i="1"/>
  <c r="M951" i="1"/>
  <c r="J950" i="1"/>
  <c r="K950" i="1"/>
  <c r="L950" i="1"/>
  <c r="M950" i="1"/>
  <c r="J949" i="1"/>
  <c r="K949" i="1"/>
  <c r="L949" i="1"/>
  <c r="M949" i="1"/>
  <c r="J948" i="1"/>
  <c r="K948" i="1"/>
  <c r="L948" i="1"/>
  <c r="M948" i="1"/>
  <c r="J947" i="1"/>
  <c r="K947" i="1"/>
  <c r="L947" i="1"/>
  <c r="M947" i="1"/>
  <c r="J946" i="1"/>
  <c r="K946" i="1"/>
  <c r="L946" i="1"/>
  <c r="M946" i="1"/>
  <c r="J945" i="1"/>
  <c r="K945" i="1"/>
  <c r="L945" i="1"/>
  <c r="M945" i="1"/>
  <c r="J944" i="1"/>
  <c r="K944" i="1"/>
  <c r="L944" i="1"/>
  <c r="M944" i="1"/>
  <c r="J943" i="1"/>
  <c r="K943" i="1"/>
  <c r="L943" i="1"/>
  <c r="M943" i="1"/>
  <c r="J942" i="1"/>
  <c r="K942" i="1"/>
  <c r="L942" i="1"/>
  <c r="M942" i="1"/>
  <c r="J941" i="1"/>
  <c r="K941" i="1"/>
  <c r="L941" i="1"/>
  <c r="M941" i="1"/>
  <c r="J940" i="1"/>
  <c r="K940" i="1"/>
  <c r="L940" i="1"/>
  <c r="M940" i="1"/>
  <c r="J939" i="1"/>
  <c r="K939" i="1"/>
  <c r="L939" i="1"/>
  <c r="M939" i="1"/>
  <c r="J938" i="1"/>
  <c r="K938" i="1"/>
  <c r="L938" i="1"/>
  <c r="M938" i="1"/>
  <c r="J937" i="1"/>
  <c r="K937" i="1"/>
  <c r="L937" i="1"/>
  <c r="M937" i="1"/>
  <c r="J936" i="1"/>
  <c r="K936" i="1"/>
  <c r="L936" i="1"/>
  <c r="M936" i="1"/>
  <c r="J935" i="1"/>
  <c r="K935" i="1"/>
  <c r="L935" i="1"/>
  <c r="M935" i="1"/>
  <c r="J934" i="1"/>
  <c r="K934" i="1"/>
  <c r="L934" i="1"/>
  <c r="M934" i="1"/>
  <c r="J933" i="1"/>
  <c r="K933" i="1"/>
  <c r="L933" i="1"/>
  <c r="M933" i="1"/>
  <c r="J932" i="1"/>
  <c r="K932" i="1"/>
  <c r="L932" i="1"/>
  <c r="M932" i="1"/>
  <c r="J931" i="1"/>
  <c r="K931" i="1"/>
  <c r="L931" i="1"/>
  <c r="M931" i="1"/>
  <c r="J930" i="1"/>
  <c r="K930" i="1"/>
  <c r="L930" i="1"/>
  <c r="M930" i="1"/>
  <c r="J929" i="1"/>
  <c r="K929" i="1"/>
  <c r="L929" i="1"/>
  <c r="M929" i="1"/>
  <c r="J928" i="1"/>
  <c r="K928" i="1"/>
  <c r="L928" i="1"/>
  <c r="M928" i="1"/>
  <c r="J927" i="1"/>
  <c r="K927" i="1"/>
  <c r="L927" i="1"/>
  <c r="M927" i="1"/>
  <c r="J926" i="1"/>
  <c r="K926" i="1"/>
  <c r="L926" i="1"/>
  <c r="M926" i="1"/>
  <c r="J925" i="1"/>
  <c r="K925" i="1"/>
  <c r="L925" i="1"/>
  <c r="M925" i="1"/>
  <c r="J924" i="1"/>
  <c r="K924" i="1"/>
  <c r="L924" i="1"/>
  <c r="M924" i="1"/>
  <c r="J923" i="1"/>
  <c r="K923" i="1"/>
  <c r="L923" i="1"/>
  <c r="M923" i="1"/>
  <c r="J922" i="1"/>
  <c r="K922" i="1"/>
  <c r="L922" i="1"/>
  <c r="M922" i="1"/>
  <c r="J921" i="1"/>
  <c r="K921" i="1"/>
  <c r="L921" i="1"/>
  <c r="M921" i="1"/>
  <c r="J920" i="1"/>
  <c r="K920" i="1"/>
  <c r="L920" i="1"/>
  <c r="M920" i="1"/>
  <c r="J919" i="1"/>
  <c r="K919" i="1"/>
  <c r="L919" i="1"/>
  <c r="M919" i="1"/>
  <c r="J918" i="1"/>
  <c r="K918" i="1"/>
  <c r="L918" i="1"/>
  <c r="M918" i="1"/>
  <c r="J917" i="1"/>
  <c r="K917" i="1"/>
  <c r="L917" i="1"/>
  <c r="M917" i="1"/>
  <c r="J916" i="1"/>
  <c r="K916" i="1"/>
  <c r="L916" i="1"/>
  <c r="M916" i="1"/>
  <c r="J915" i="1"/>
  <c r="K915" i="1"/>
  <c r="L915" i="1"/>
  <c r="M915" i="1"/>
  <c r="J914" i="1"/>
  <c r="K914" i="1"/>
  <c r="L914" i="1"/>
  <c r="M914" i="1"/>
  <c r="J913" i="1"/>
  <c r="K913" i="1"/>
  <c r="L913" i="1"/>
  <c r="M913" i="1"/>
  <c r="J912" i="1"/>
  <c r="K912" i="1"/>
  <c r="L912" i="1"/>
  <c r="M912" i="1"/>
  <c r="J911" i="1"/>
  <c r="K911" i="1"/>
  <c r="L911" i="1"/>
  <c r="M911" i="1"/>
  <c r="J910" i="1"/>
  <c r="K910" i="1"/>
  <c r="L910" i="1"/>
  <c r="M910" i="1"/>
  <c r="J909" i="1"/>
  <c r="K909" i="1"/>
  <c r="L909" i="1"/>
  <c r="M909" i="1"/>
  <c r="J908" i="1"/>
  <c r="K908" i="1"/>
  <c r="L908" i="1"/>
  <c r="M908" i="1"/>
  <c r="J907" i="1"/>
  <c r="K907" i="1"/>
  <c r="L907" i="1"/>
  <c r="M907" i="1"/>
  <c r="J906" i="1"/>
  <c r="K906" i="1"/>
  <c r="L906" i="1"/>
  <c r="M906" i="1"/>
  <c r="J905" i="1"/>
  <c r="K905" i="1"/>
  <c r="L905" i="1"/>
  <c r="M905" i="1"/>
  <c r="J904" i="1"/>
  <c r="K904" i="1"/>
  <c r="L904" i="1"/>
  <c r="M904" i="1"/>
  <c r="J903" i="1"/>
  <c r="K903" i="1"/>
  <c r="L903" i="1"/>
  <c r="M903" i="1"/>
  <c r="J902" i="1"/>
  <c r="K902" i="1"/>
  <c r="L902" i="1"/>
  <c r="M902" i="1"/>
  <c r="J901" i="1"/>
  <c r="K901" i="1"/>
  <c r="L901" i="1"/>
  <c r="M901" i="1"/>
  <c r="J900" i="1"/>
  <c r="K900" i="1"/>
  <c r="L900" i="1"/>
  <c r="M900" i="1"/>
  <c r="J899" i="1"/>
  <c r="K899" i="1"/>
  <c r="L899" i="1"/>
  <c r="M899" i="1"/>
  <c r="J898" i="1"/>
  <c r="K898" i="1"/>
  <c r="L898" i="1"/>
  <c r="M898" i="1"/>
  <c r="J897" i="1"/>
  <c r="K897" i="1"/>
  <c r="L897" i="1"/>
  <c r="M897" i="1"/>
  <c r="J896" i="1"/>
  <c r="K896" i="1"/>
  <c r="L896" i="1"/>
  <c r="M896" i="1"/>
  <c r="J895" i="1"/>
  <c r="K895" i="1"/>
  <c r="L895" i="1"/>
  <c r="M895" i="1"/>
  <c r="J894" i="1"/>
  <c r="K894" i="1"/>
  <c r="L894" i="1"/>
  <c r="M894" i="1"/>
  <c r="J893" i="1"/>
  <c r="K893" i="1"/>
  <c r="L893" i="1"/>
  <c r="M893" i="1"/>
  <c r="J892" i="1"/>
  <c r="K892" i="1"/>
  <c r="L892" i="1"/>
  <c r="M892" i="1"/>
  <c r="J891" i="1"/>
  <c r="K891" i="1"/>
  <c r="L891" i="1"/>
  <c r="M891" i="1"/>
  <c r="J890" i="1"/>
  <c r="K890" i="1"/>
  <c r="L890" i="1"/>
  <c r="M890" i="1"/>
  <c r="J889" i="1"/>
  <c r="K889" i="1"/>
  <c r="L889" i="1"/>
  <c r="M889" i="1"/>
  <c r="J888" i="1"/>
  <c r="K888" i="1"/>
  <c r="L888" i="1"/>
  <c r="M888" i="1"/>
  <c r="J887" i="1"/>
  <c r="K887" i="1"/>
  <c r="L887" i="1"/>
  <c r="M887" i="1"/>
  <c r="J886" i="1"/>
  <c r="K886" i="1"/>
  <c r="L886" i="1"/>
  <c r="M886" i="1"/>
  <c r="J885" i="1"/>
  <c r="K885" i="1"/>
  <c r="L885" i="1"/>
  <c r="M885" i="1"/>
  <c r="J884" i="1"/>
  <c r="K884" i="1"/>
  <c r="L884" i="1"/>
  <c r="M884" i="1"/>
  <c r="J883" i="1"/>
  <c r="K883" i="1"/>
  <c r="L883" i="1"/>
  <c r="M883" i="1"/>
  <c r="J882" i="1"/>
  <c r="K882" i="1"/>
  <c r="L882" i="1"/>
  <c r="M882" i="1"/>
  <c r="J881" i="1"/>
  <c r="K881" i="1"/>
  <c r="L881" i="1"/>
  <c r="M881" i="1"/>
  <c r="J880" i="1"/>
  <c r="K880" i="1"/>
  <c r="L880" i="1"/>
  <c r="M880" i="1"/>
  <c r="J879" i="1"/>
  <c r="K879" i="1"/>
  <c r="L879" i="1"/>
  <c r="M879" i="1"/>
  <c r="J878" i="1"/>
  <c r="K878" i="1"/>
  <c r="L878" i="1"/>
  <c r="M878" i="1"/>
  <c r="J877" i="1"/>
  <c r="K877" i="1"/>
  <c r="L877" i="1"/>
  <c r="M877" i="1"/>
  <c r="J876" i="1"/>
  <c r="K876" i="1"/>
  <c r="L876" i="1"/>
  <c r="M876" i="1"/>
  <c r="J875" i="1"/>
  <c r="K875" i="1"/>
  <c r="L875" i="1"/>
  <c r="M875" i="1"/>
  <c r="J874" i="1"/>
  <c r="K874" i="1"/>
  <c r="L874" i="1"/>
  <c r="M874" i="1"/>
  <c r="J873" i="1"/>
  <c r="K873" i="1"/>
  <c r="L873" i="1"/>
  <c r="M873" i="1"/>
  <c r="J872" i="1"/>
  <c r="K872" i="1"/>
  <c r="L872" i="1"/>
  <c r="M872" i="1"/>
  <c r="J871" i="1"/>
  <c r="K871" i="1"/>
  <c r="L871" i="1"/>
  <c r="M871" i="1"/>
  <c r="J870" i="1"/>
  <c r="K870" i="1"/>
  <c r="L870" i="1"/>
  <c r="M870" i="1"/>
  <c r="J869" i="1"/>
  <c r="K869" i="1"/>
  <c r="L869" i="1"/>
  <c r="M869" i="1"/>
  <c r="J868" i="1"/>
  <c r="K868" i="1"/>
  <c r="L868" i="1"/>
  <c r="M868" i="1"/>
  <c r="J867" i="1"/>
  <c r="K867" i="1"/>
  <c r="L867" i="1"/>
  <c r="M867" i="1"/>
  <c r="J866" i="1"/>
  <c r="K866" i="1"/>
  <c r="L866" i="1"/>
  <c r="M866" i="1"/>
  <c r="J865" i="1"/>
  <c r="K865" i="1"/>
  <c r="L865" i="1"/>
  <c r="M865" i="1"/>
  <c r="J864" i="1"/>
  <c r="K864" i="1"/>
  <c r="L864" i="1"/>
  <c r="M864" i="1"/>
  <c r="J863" i="1"/>
  <c r="K863" i="1"/>
  <c r="L863" i="1"/>
  <c r="M863" i="1"/>
  <c r="J862" i="1"/>
  <c r="K862" i="1"/>
  <c r="L862" i="1"/>
  <c r="M862" i="1"/>
  <c r="J861" i="1"/>
  <c r="K861" i="1"/>
  <c r="L861" i="1"/>
  <c r="M861" i="1"/>
  <c r="J860" i="1"/>
  <c r="K860" i="1"/>
  <c r="L860" i="1"/>
  <c r="M860" i="1"/>
  <c r="J859" i="1"/>
  <c r="K859" i="1"/>
  <c r="L859" i="1"/>
  <c r="M859" i="1"/>
  <c r="J858" i="1"/>
  <c r="K858" i="1"/>
  <c r="L858" i="1"/>
  <c r="M858" i="1"/>
  <c r="J857" i="1"/>
  <c r="K857" i="1"/>
  <c r="L857" i="1"/>
  <c r="M857" i="1"/>
  <c r="J856" i="1"/>
  <c r="K856" i="1"/>
  <c r="L856" i="1"/>
  <c r="M856" i="1"/>
  <c r="J855" i="1"/>
  <c r="K855" i="1"/>
  <c r="L855" i="1"/>
  <c r="M855" i="1"/>
  <c r="J854" i="1"/>
  <c r="K854" i="1"/>
  <c r="L854" i="1"/>
  <c r="M854" i="1"/>
  <c r="J853" i="1"/>
  <c r="K853" i="1"/>
  <c r="L853" i="1"/>
  <c r="M853" i="1"/>
  <c r="J852" i="1"/>
  <c r="K852" i="1"/>
  <c r="L852" i="1"/>
  <c r="M852" i="1"/>
  <c r="J851" i="1"/>
  <c r="K851" i="1"/>
  <c r="L851" i="1"/>
  <c r="M851" i="1"/>
  <c r="J850" i="1"/>
  <c r="K850" i="1"/>
  <c r="L850" i="1"/>
  <c r="M850" i="1"/>
  <c r="J849" i="1"/>
  <c r="K849" i="1"/>
  <c r="L849" i="1"/>
  <c r="M849" i="1"/>
  <c r="J848" i="1"/>
  <c r="K848" i="1"/>
  <c r="L848" i="1"/>
  <c r="M848" i="1"/>
  <c r="J847" i="1"/>
  <c r="K847" i="1"/>
  <c r="L847" i="1"/>
  <c r="M847" i="1"/>
  <c r="J846" i="1"/>
  <c r="K846" i="1"/>
  <c r="L846" i="1"/>
  <c r="M846" i="1"/>
  <c r="J845" i="1"/>
  <c r="K845" i="1"/>
  <c r="L845" i="1"/>
  <c r="M845" i="1"/>
  <c r="J844" i="1"/>
  <c r="K844" i="1"/>
  <c r="L844" i="1"/>
  <c r="M844" i="1"/>
  <c r="J843" i="1"/>
  <c r="K843" i="1"/>
  <c r="L843" i="1"/>
  <c r="M843" i="1"/>
  <c r="J842" i="1"/>
  <c r="K842" i="1"/>
  <c r="L842" i="1"/>
  <c r="M842" i="1"/>
  <c r="J841" i="1"/>
  <c r="K841" i="1"/>
  <c r="L841" i="1"/>
  <c r="M841" i="1"/>
  <c r="J840" i="1"/>
  <c r="K840" i="1"/>
  <c r="L840" i="1"/>
  <c r="M840" i="1"/>
  <c r="J839" i="1"/>
  <c r="K839" i="1"/>
  <c r="L839" i="1"/>
  <c r="M839" i="1"/>
  <c r="J838" i="1"/>
  <c r="K838" i="1"/>
  <c r="L838" i="1"/>
  <c r="M838" i="1"/>
  <c r="J837" i="1"/>
  <c r="K837" i="1"/>
  <c r="L837" i="1"/>
  <c r="M837" i="1"/>
  <c r="J836" i="1"/>
  <c r="K836" i="1"/>
  <c r="L836" i="1"/>
  <c r="M836" i="1"/>
  <c r="J835" i="1"/>
  <c r="K835" i="1"/>
  <c r="L835" i="1"/>
  <c r="M835" i="1"/>
  <c r="J834" i="1"/>
  <c r="K834" i="1"/>
  <c r="L834" i="1"/>
  <c r="M834" i="1"/>
  <c r="J833" i="1"/>
  <c r="K833" i="1"/>
  <c r="L833" i="1"/>
  <c r="M833" i="1"/>
  <c r="J832" i="1"/>
  <c r="K832" i="1"/>
  <c r="L832" i="1"/>
  <c r="M832" i="1"/>
  <c r="J831" i="1"/>
  <c r="K831" i="1"/>
  <c r="L831" i="1"/>
  <c r="M831" i="1"/>
  <c r="J830" i="1"/>
  <c r="K830" i="1"/>
  <c r="L830" i="1"/>
  <c r="M830" i="1"/>
  <c r="J829" i="1"/>
  <c r="K829" i="1"/>
  <c r="L829" i="1"/>
  <c r="M829" i="1"/>
  <c r="J828" i="1"/>
  <c r="K828" i="1"/>
  <c r="L828" i="1"/>
  <c r="M828" i="1"/>
  <c r="J827" i="1"/>
  <c r="K827" i="1"/>
  <c r="L827" i="1"/>
  <c r="M827" i="1"/>
  <c r="J826" i="1"/>
  <c r="K826" i="1"/>
  <c r="L826" i="1"/>
  <c r="M826" i="1"/>
  <c r="J825" i="1"/>
  <c r="K825" i="1"/>
  <c r="L825" i="1"/>
  <c r="M825" i="1"/>
  <c r="J824" i="1"/>
  <c r="K824" i="1"/>
  <c r="L824" i="1"/>
  <c r="M824" i="1"/>
  <c r="J823" i="1"/>
  <c r="K823" i="1"/>
  <c r="L823" i="1"/>
  <c r="M823" i="1"/>
  <c r="J822" i="1"/>
  <c r="K822" i="1"/>
  <c r="L822" i="1"/>
  <c r="M822" i="1"/>
  <c r="J821" i="1"/>
  <c r="K821" i="1"/>
  <c r="L821" i="1"/>
  <c r="M821" i="1"/>
  <c r="J820" i="1"/>
  <c r="K820" i="1"/>
  <c r="L820" i="1"/>
  <c r="M820" i="1"/>
  <c r="J819" i="1"/>
  <c r="K819" i="1"/>
  <c r="L819" i="1"/>
  <c r="M819" i="1"/>
  <c r="J818" i="1"/>
  <c r="K818" i="1"/>
  <c r="L818" i="1"/>
  <c r="M818" i="1"/>
  <c r="J817" i="1"/>
  <c r="K817" i="1"/>
  <c r="L817" i="1"/>
  <c r="M817" i="1"/>
  <c r="J816" i="1"/>
  <c r="K816" i="1"/>
  <c r="L816" i="1"/>
  <c r="M816" i="1"/>
  <c r="J815" i="1"/>
  <c r="K815" i="1"/>
  <c r="L815" i="1"/>
  <c r="M815" i="1"/>
  <c r="J814" i="1"/>
  <c r="K814" i="1"/>
  <c r="L814" i="1"/>
  <c r="M814" i="1"/>
  <c r="J813" i="1"/>
  <c r="K813" i="1"/>
  <c r="L813" i="1"/>
  <c r="M813" i="1"/>
  <c r="J812" i="1"/>
  <c r="K812" i="1"/>
  <c r="L812" i="1"/>
  <c r="M812" i="1"/>
  <c r="J811" i="1"/>
  <c r="K811" i="1"/>
  <c r="L811" i="1"/>
  <c r="M811" i="1"/>
  <c r="J810" i="1"/>
  <c r="K810" i="1"/>
  <c r="L810" i="1"/>
  <c r="M810" i="1"/>
  <c r="J809" i="1"/>
  <c r="K809" i="1"/>
  <c r="L809" i="1"/>
  <c r="M809" i="1"/>
  <c r="J808" i="1"/>
  <c r="K808" i="1"/>
  <c r="L808" i="1"/>
  <c r="M808" i="1"/>
  <c r="J807" i="1"/>
  <c r="K807" i="1"/>
  <c r="L807" i="1"/>
  <c r="M807" i="1"/>
  <c r="J806" i="1"/>
  <c r="K806" i="1"/>
  <c r="L806" i="1"/>
  <c r="M806" i="1"/>
  <c r="J805" i="1"/>
  <c r="K805" i="1"/>
  <c r="L805" i="1"/>
  <c r="M805" i="1"/>
  <c r="J804" i="1"/>
  <c r="K804" i="1"/>
  <c r="L804" i="1"/>
  <c r="M804" i="1"/>
  <c r="J803" i="1"/>
  <c r="K803" i="1"/>
  <c r="L803" i="1"/>
  <c r="M803" i="1"/>
  <c r="J802" i="1"/>
  <c r="K802" i="1"/>
  <c r="L802" i="1"/>
  <c r="M802" i="1"/>
  <c r="J801" i="1"/>
  <c r="K801" i="1"/>
  <c r="L801" i="1"/>
  <c r="M801" i="1"/>
  <c r="J800" i="1"/>
  <c r="K800" i="1"/>
  <c r="L800" i="1"/>
  <c r="M800" i="1"/>
  <c r="J799" i="1"/>
  <c r="K799" i="1"/>
  <c r="L799" i="1"/>
  <c r="M799" i="1"/>
  <c r="J798" i="1"/>
  <c r="K798" i="1"/>
  <c r="L798" i="1"/>
  <c r="M798" i="1"/>
  <c r="J797" i="1"/>
  <c r="K797" i="1"/>
  <c r="L797" i="1"/>
  <c r="M797" i="1"/>
  <c r="J796" i="1"/>
  <c r="K796" i="1"/>
  <c r="L796" i="1"/>
  <c r="M796" i="1"/>
  <c r="J795" i="1"/>
  <c r="K795" i="1"/>
  <c r="L795" i="1"/>
  <c r="M795" i="1"/>
  <c r="J794" i="1"/>
  <c r="K794" i="1"/>
  <c r="L794" i="1"/>
  <c r="M794" i="1"/>
  <c r="J793" i="1"/>
  <c r="K793" i="1"/>
  <c r="L793" i="1"/>
  <c r="M793" i="1"/>
  <c r="J792" i="1"/>
  <c r="K792" i="1"/>
  <c r="L792" i="1"/>
  <c r="M792" i="1"/>
  <c r="J791" i="1"/>
  <c r="K791" i="1"/>
  <c r="L791" i="1"/>
  <c r="M791" i="1"/>
  <c r="J790" i="1"/>
  <c r="K790" i="1"/>
  <c r="L790" i="1"/>
  <c r="M790" i="1"/>
  <c r="J789" i="1"/>
  <c r="K789" i="1"/>
  <c r="L789" i="1"/>
  <c r="M789" i="1"/>
  <c r="J788" i="1"/>
  <c r="K788" i="1"/>
  <c r="L788" i="1"/>
  <c r="M788" i="1"/>
  <c r="J787" i="1"/>
  <c r="K787" i="1"/>
  <c r="L787" i="1"/>
  <c r="M787" i="1"/>
  <c r="J786" i="1"/>
  <c r="K786" i="1"/>
  <c r="L786" i="1"/>
  <c r="M786" i="1"/>
  <c r="J785" i="1"/>
  <c r="K785" i="1"/>
  <c r="L785" i="1"/>
  <c r="M785" i="1"/>
  <c r="J784" i="1"/>
  <c r="K784" i="1"/>
  <c r="L784" i="1"/>
  <c r="M784" i="1"/>
  <c r="J783" i="1"/>
  <c r="K783" i="1"/>
  <c r="L783" i="1"/>
  <c r="M783" i="1"/>
  <c r="J782" i="1"/>
  <c r="K782" i="1"/>
  <c r="L782" i="1"/>
  <c r="M782" i="1"/>
  <c r="J781" i="1"/>
  <c r="K781" i="1"/>
  <c r="L781" i="1"/>
  <c r="M781" i="1"/>
  <c r="J780" i="1"/>
  <c r="K780" i="1"/>
  <c r="L780" i="1"/>
  <c r="M780" i="1"/>
  <c r="J779" i="1"/>
  <c r="K779" i="1"/>
  <c r="L779" i="1"/>
  <c r="M779" i="1"/>
  <c r="J778" i="1"/>
  <c r="K778" i="1"/>
  <c r="L778" i="1"/>
  <c r="M778" i="1"/>
  <c r="J777" i="1"/>
  <c r="K777" i="1"/>
  <c r="L777" i="1"/>
  <c r="M777" i="1"/>
  <c r="J776" i="1"/>
  <c r="K776" i="1"/>
  <c r="L776" i="1"/>
  <c r="M776" i="1"/>
  <c r="J775" i="1"/>
  <c r="K775" i="1"/>
  <c r="L775" i="1"/>
  <c r="M775" i="1"/>
  <c r="J774" i="1"/>
  <c r="K774" i="1"/>
  <c r="L774" i="1"/>
  <c r="M774" i="1"/>
  <c r="J773" i="1"/>
  <c r="K773" i="1"/>
  <c r="L773" i="1"/>
  <c r="M773" i="1"/>
  <c r="J772" i="1"/>
  <c r="K772" i="1"/>
  <c r="L772" i="1"/>
  <c r="M772" i="1"/>
  <c r="J771" i="1"/>
  <c r="K771" i="1"/>
  <c r="L771" i="1"/>
  <c r="M771" i="1"/>
  <c r="J770" i="1"/>
  <c r="K770" i="1"/>
  <c r="L770" i="1"/>
  <c r="M770" i="1"/>
  <c r="J769" i="1"/>
  <c r="K769" i="1"/>
  <c r="L769" i="1"/>
  <c r="M769" i="1"/>
  <c r="J768" i="1"/>
  <c r="K768" i="1"/>
  <c r="L768" i="1"/>
  <c r="M768" i="1"/>
  <c r="J767" i="1"/>
  <c r="K767" i="1"/>
  <c r="L767" i="1"/>
  <c r="M767" i="1"/>
  <c r="J766" i="1"/>
  <c r="K766" i="1"/>
  <c r="L766" i="1"/>
  <c r="M766" i="1"/>
  <c r="J765" i="1"/>
  <c r="K765" i="1"/>
  <c r="L765" i="1"/>
  <c r="M765" i="1"/>
  <c r="J764" i="1"/>
  <c r="K764" i="1"/>
  <c r="L764" i="1"/>
  <c r="M764" i="1"/>
  <c r="J763" i="1"/>
  <c r="K763" i="1"/>
  <c r="L763" i="1"/>
  <c r="M763" i="1"/>
  <c r="J762" i="1"/>
  <c r="K762" i="1"/>
  <c r="L762" i="1"/>
  <c r="M762" i="1"/>
  <c r="J761" i="1"/>
  <c r="K761" i="1"/>
  <c r="L761" i="1"/>
  <c r="M761" i="1"/>
  <c r="J760" i="1"/>
  <c r="K760" i="1"/>
  <c r="L760" i="1"/>
  <c r="M760" i="1"/>
  <c r="J759" i="1"/>
  <c r="K759" i="1"/>
  <c r="L759" i="1"/>
  <c r="M759" i="1"/>
  <c r="J758" i="1"/>
  <c r="K758" i="1"/>
  <c r="L758" i="1"/>
  <c r="M758" i="1"/>
  <c r="J757" i="1"/>
  <c r="K757" i="1"/>
  <c r="L757" i="1"/>
  <c r="M757" i="1"/>
  <c r="J756" i="1"/>
  <c r="K756" i="1"/>
  <c r="L756" i="1"/>
  <c r="M756" i="1"/>
  <c r="J755" i="1"/>
  <c r="K755" i="1"/>
  <c r="L755" i="1"/>
  <c r="M755" i="1"/>
  <c r="J754" i="1"/>
  <c r="K754" i="1"/>
  <c r="L754" i="1"/>
  <c r="M754" i="1"/>
  <c r="J753" i="1"/>
  <c r="K753" i="1"/>
  <c r="L753" i="1"/>
  <c r="M753" i="1"/>
  <c r="J752" i="1"/>
  <c r="K752" i="1"/>
  <c r="L752" i="1"/>
  <c r="M752" i="1"/>
  <c r="J751" i="1"/>
  <c r="K751" i="1"/>
  <c r="L751" i="1"/>
  <c r="M751" i="1"/>
  <c r="J750" i="1"/>
  <c r="K750" i="1"/>
  <c r="L750" i="1"/>
  <c r="M750" i="1"/>
  <c r="J749" i="1"/>
  <c r="K749" i="1"/>
  <c r="L749" i="1"/>
  <c r="M749" i="1"/>
  <c r="J748" i="1"/>
  <c r="K748" i="1"/>
  <c r="L748" i="1"/>
  <c r="M748" i="1"/>
  <c r="J747" i="1"/>
  <c r="K747" i="1"/>
  <c r="L747" i="1"/>
  <c r="M747" i="1"/>
  <c r="J746" i="1"/>
  <c r="K746" i="1"/>
  <c r="L746" i="1"/>
  <c r="M746" i="1"/>
  <c r="J745" i="1"/>
  <c r="K745" i="1"/>
  <c r="L745" i="1"/>
  <c r="M745" i="1"/>
  <c r="J744" i="1"/>
  <c r="K744" i="1"/>
  <c r="L744" i="1"/>
  <c r="M744" i="1"/>
  <c r="J743" i="1"/>
  <c r="K743" i="1"/>
  <c r="L743" i="1"/>
  <c r="M743" i="1"/>
  <c r="J742" i="1"/>
  <c r="K742" i="1"/>
  <c r="L742" i="1"/>
  <c r="M742" i="1"/>
  <c r="J741" i="1"/>
  <c r="K741" i="1"/>
  <c r="L741" i="1"/>
  <c r="M741" i="1"/>
  <c r="J740" i="1"/>
  <c r="K740" i="1"/>
  <c r="L740" i="1"/>
  <c r="M740" i="1"/>
  <c r="J739" i="1"/>
  <c r="K739" i="1"/>
  <c r="L739" i="1"/>
  <c r="M739" i="1"/>
  <c r="J738" i="1"/>
  <c r="K738" i="1"/>
  <c r="L738" i="1"/>
  <c r="M738" i="1"/>
  <c r="J737" i="1"/>
  <c r="K737" i="1"/>
  <c r="L737" i="1"/>
  <c r="M737" i="1"/>
  <c r="J736" i="1"/>
  <c r="K736" i="1"/>
  <c r="L736" i="1"/>
  <c r="M736" i="1"/>
  <c r="J735" i="1"/>
  <c r="K735" i="1"/>
  <c r="L735" i="1"/>
  <c r="M735" i="1"/>
  <c r="J734" i="1"/>
  <c r="K734" i="1"/>
  <c r="L734" i="1"/>
  <c r="M734" i="1"/>
  <c r="J733" i="1"/>
  <c r="K733" i="1"/>
  <c r="L733" i="1"/>
  <c r="M733" i="1"/>
  <c r="J732" i="1"/>
  <c r="K732" i="1"/>
  <c r="L732" i="1"/>
  <c r="M732" i="1"/>
  <c r="J731" i="1"/>
  <c r="K731" i="1"/>
  <c r="L731" i="1"/>
  <c r="M731" i="1"/>
  <c r="J730" i="1"/>
  <c r="K730" i="1"/>
  <c r="L730" i="1"/>
  <c r="M730" i="1"/>
  <c r="J729" i="1"/>
  <c r="K729" i="1"/>
  <c r="L729" i="1"/>
  <c r="M729" i="1"/>
  <c r="J728" i="1"/>
  <c r="K728" i="1"/>
  <c r="L728" i="1"/>
  <c r="M728" i="1"/>
  <c r="J727" i="1"/>
  <c r="K727" i="1"/>
  <c r="L727" i="1"/>
  <c r="M727" i="1"/>
  <c r="J726" i="1"/>
  <c r="K726" i="1"/>
  <c r="L726" i="1"/>
  <c r="M726" i="1"/>
  <c r="J725" i="1"/>
  <c r="K725" i="1"/>
  <c r="L725" i="1"/>
  <c r="M725" i="1"/>
  <c r="J724" i="1"/>
  <c r="K724" i="1"/>
  <c r="L724" i="1"/>
  <c r="M724" i="1"/>
  <c r="J723" i="1"/>
  <c r="K723" i="1"/>
  <c r="L723" i="1"/>
  <c r="M723" i="1"/>
  <c r="J722" i="1"/>
  <c r="K722" i="1"/>
  <c r="L722" i="1"/>
  <c r="M722" i="1"/>
  <c r="J721" i="1"/>
  <c r="K721" i="1"/>
  <c r="L721" i="1"/>
  <c r="M721" i="1"/>
  <c r="J720" i="1"/>
  <c r="K720" i="1"/>
  <c r="L720" i="1"/>
  <c r="M720" i="1"/>
  <c r="J719" i="1"/>
  <c r="K719" i="1"/>
  <c r="L719" i="1"/>
  <c r="M719" i="1"/>
  <c r="J718" i="1"/>
  <c r="K718" i="1"/>
  <c r="L718" i="1"/>
  <c r="M718" i="1"/>
  <c r="J717" i="1"/>
  <c r="K717" i="1"/>
  <c r="L717" i="1"/>
  <c r="M717" i="1"/>
  <c r="J716" i="1"/>
  <c r="K716" i="1"/>
  <c r="L716" i="1"/>
  <c r="M716" i="1"/>
  <c r="J715" i="1"/>
  <c r="K715" i="1"/>
  <c r="L715" i="1"/>
  <c r="M715" i="1"/>
  <c r="J714" i="1"/>
  <c r="K714" i="1"/>
  <c r="L714" i="1"/>
  <c r="M714" i="1"/>
  <c r="J713" i="1"/>
  <c r="K713" i="1"/>
  <c r="L713" i="1"/>
  <c r="M713" i="1"/>
  <c r="J712" i="1"/>
  <c r="K712" i="1"/>
  <c r="L712" i="1"/>
  <c r="M712" i="1"/>
  <c r="J711" i="1"/>
  <c r="K711" i="1"/>
  <c r="L711" i="1"/>
  <c r="M711" i="1"/>
  <c r="J710" i="1"/>
  <c r="K710" i="1"/>
  <c r="L710" i="1"/>
  <c r="M710" i="1"/>
  <c r="J709" i="1"/>
  <c r="K709" i="1"/>
  <c r="L709" i="1"/>
  <c r="M709" i="1"/>
  <c r="J708" i="1"/>
  <c r="K708" i="1"/>
  <c r="L708" i="1"/>
  <c r="M708" i="1"/>
  <c r="J707" i="1"/>
  <c r="K707" i="1"/>
  <c r="L707" i="1"/>
  <c r="M707" i="1"/>
  <c r="J706" i="1"/>
  <c r="K706" i="1"/>
  <c r="L706" i="1"/>
  <c r="M706" i="1"/>
  <c r="J705" i="1"/>
  <c r="K705" i="1"/>
  <c r="L705" i="1"/>
  <c r="M705" i="1"/>
  <c r="J704" i="1"/>
  <c r="K704" i="1"/>
  <c r="L704" i="1"/>
  <c r="M704" i="1"/>
  <c r="J703" i="1"/>
  <c r="K703" i="1"/>
  <c r="L703" i="1"/>
  <c r="M703" i="1"/>
  <c r="J702" i="1"/>
  <c r="K702" i="1"/>
  <c r="L702" i="1"/>
  <c r="M702" i="1"/>
  <c r="J701" i="1"/>
  <c r="K701" i="1"/>
  <c r="L701" i="1"/>
  <c r="M701" i="1"/>
  <c r="J700" i="1"/>
  <c r="K700" i="1"/>
  <c r="L700" i="1"/>
  <c r="M700" i="1"/>
  <c r="J699" i="1"/>
  <c r="K699" i="1"/>
  <c r="L699" i="1"/>
  <c r="M699" i="1"/>
  <c r="J698" i="1"/>
  <c r="K698" i="1"/>
  <c r="L698" i="1"/>
  <c r="M698" i="1"/>
  <c r="J697" i="1"/>
  <c r="K697" i="1"/>
  <c r="L697" i="1"/>
  <c r="M697" i="1"/>
  <c r="J696" i="1"/>
  <c r="K696" i="1"/>
  <c r="L696" i="1"/>
  <c r="M696" i="1"/>
  <c r="J695" i="1"/>
  <c r="K695" i="1"/>
  <c r="L695" i="1"/>
  <c r="M695" i="1"/>
  <c r="J694" i="1"/>
  <c r="K694" i="1"/>
  <c r="L694" i="1"/>
  <c r="M694" i="1"/>
  <c r="J693" i="1"/>
  <c r="K693" i="1"/>
  <c r="L693" i="1"/>
  <c r="M693" i="1"/>
  <c r="J692" i="1"/>
  <c r="K692" i="1"/>
  <c r="L692" i="1"/>
  <c r="M692" i="1"/>
  <c r="J691" i="1"/>
  <c r="K691" i="1"/>
  <c r="L691" i="1"/>
  <c r="M691" i="1"/>
  <c r="J690" i="1"/>
  <c r="K690" i="1"/>
  <c r="L690" i="1"/>
  <c r="M690" i="1"/>
  <c r="J689" i="1"/>
  <c r="K689" i="1"/>
  <c r="L689" i="1"/>
  <c r="M689" i="1"/>
  <c r="J688" i="1"/>
  <c r="K688" i="1"/>
  <c r="L688" i="1"/>
  <c r="M688" i="1"/>
  <c r="J687" i="1"/>
  <c r="K687" i="1"/>
  <c r="L687" i="1"/>
  <c r="M687" i="1"/>
  <c r="J686" i="1"/>
  <c r="K686" i="1"/>
  <c r="L686" i="1"/>
  <c r="M686" i="1"/>
  <c r="J685" i="1"/>
  <c r="K685" i="1"/>
  <c r="L685" i="1"/>
  <c r="M685" i="1"/>
  <c r="J684" i="1"/>
  <c r="K684" i="1"/>
  <c r="L684" i="1"/>
  <c r="M684" i="1"/>
  <c r="J683" i="1"/>
  <c r="K683" i="1"/>
  <c r="L683" i="1"/>
  <c r="M683" i="1"/>
  <c r="J682" i="1"/>
  <c r="K682" i="1"/>
  <c r="L682" i="1"/>
  <c r="M682" i="1"/>
  <c r="J681" i="1"/>
  <c r="K681" i="1"/>
  <c r="L681" i="1"/>
  <c r="M681" i="1"/>
  <c r="J680" i="1"/>
  <c r="K680" i="1"/>
  <c r="L680" i="1"/>
  <c r="M680" i="1"/>
  <c r="J679" i="1"/>
  <c r="K679" i="1"/>
  <c r="L679" i="1"/>
  <c r="M679" i="1"/>
  <c r="J678" i="1"/>
  <c r="K678" i="1"/>
  <c r="L678" i="1"/>
  <c r="M678" i="1"/>
  <c r="J677" i="1"/>
  <c r="K677" i="1"/>
  <c r="L677" i="1"/>
  <c r="M677" i="1"/>
  <c r="J676" i="1"/>
  <c r="K676" i="1"/>
  <c r="L676" i="1"/>
  <c r="M676" i="1"/>
  <c r="J675" i="1"/>
  <c r="K675" i="1"/>
  <c r="L675" i="1"/>
  <c r="M675" i="1"/>
  <c r="J674" i="1"/>
  <c r="K674" i="1"/>
  <c r="L674" i="1"/>
  <c r="M674" i="1"/>
  <c r="J673" i="1"/>
  <c r="K673" i="1"/>
  <c r="L673" i="1"/>
  <c r="M673" i="1"/>
  <c r="J672" i="1"/>
  <c r="K672" i="1"/>
  <c r="L672" i="1"/>
  <c r="M672" i="1"/>
  <c r="J671" i="1"/>
  <c r="K671" i="1"/>
  <c r="L671" i="1"/>
  <c r="M671" i="1"/>
  <c r="J670" i="1"/>
  <c r="K670" i="1"/>
  <c r="L670" i="1"/>
  <c r="M670" i="1"/>
  <c r="J669" i="1"/>
  <c r="K669" i="1"/>
  <c r="L669" i="1"/>
  <c r="M669" i="1"/>
  <c r="J668" i="1"/>
  <c r="K668" i="1"/>
  <c r="L668" i="1"/>
  <c r="M668" i="1"/>
  <c r="J667" i="1"/>
  <c r="K667" i="1"/>
  <c r="L667" i="1"/>
  <c r="M667" i="1"/>
  <c r="J666" i="1"/>
  <c r="K666" i="1"/>
  <c r="L666" i="1"/>
  <c r="M666" i="1"/>
  <c r="J665" i="1"/>
  <c r="K665" i="1"/>
  <c r="L665" i="1"/>
  <c r="M665" i="1"/>
  <c r="J664" i="1"/>
  <c r="K664" i="1"/>
  <c r="L664" i="1"/>
  <c r="M664" i="1"/>
  <c r="J663" i="1"/>
  <c r="K663" i="1"/>
  <c r="L663" i="1"/>
  <c r="M663" i="1"/>
  <c r="J662" i="1"/>
  <c r="K662" i="1"/>
  <c r="L662" i="1"/>
  <c r="M662" i="1"/>
  <c r="J661" i="1"/>
  <c r="K661" i="1"/>
  <c r="L661" i="1"/>
  <c r="M661" i="1"/>
  <c r="J660" i="1"/>
  <c r="K660" i="1"/>
  <c r="L660" i="1"/>
  <c r="M660" i="1"/>
  <c r="J659" i="1"/>
  <c r="K659" i="1"/>
  <c r="L659" i="1"/>
  <c r="M659" i="1"/>
  <c r="J658" i="1"/>
  <c r="K658" i="1"/>
  <c r="L658" i="1"/>
  <c r="M658" i="1"/>
  <c r="J657" i="1"/>
  <c r="K657" i="1"/>
  <c r="L657" i="1"/>
  <c r="M657" i="1"/>
  <c r="J656" i="1"/>
  <c r="K656" i="1"/>
  <c r="L656" i="1"/>
  <c r="M656" i="1"/>
  <c r="J655" i="1"/>
  <c r="K655" i="1"/>
  <c r="L655" i="1"/>
  <c r="M655" i="1"/>
  <c r="J654" i="1"/>
  <c r="K654" i="1"/>
  <c r="L654" i="1"/>
  <c r="M654" i="1"/>
  <c r="J653" i="1"/>
  <c r="K653" i="1"/>
  <c r="L653" i="1"/>
  <c r="M653" i="1"/>
  <c r="J652" i="1"/>
  <c r="K652" i="1"/>
  <c r="L652" i="1"/>
  <c r="M652" i="1"/>
  <c r="J651" i="1"/>
  <c r="K651" i="1"/>
  <c r="L651" i="1"/>
  <c r="M651" i="1"/>
  <c r="J650" i="1"/>
  <c r="K650" i="1"/>
  <c r="L650" i="1"/>
  <c r="M650" i="1"/>
  <c r="J649" i="1"/>
  <c r="K649" i="1"/>
  <c r="L649" i="1"/>
  <c r="M649" i="1"/>
  <c r="J648" i="1"/>
  <c r="K648" i="1"/>
  <c r="L648" i="1"/>
  <c r="M648" i="1"/>
  <c r="J647" i="1"/>
  <c r="K647" i="1"/>
  <c r="L647" i="1"/>
  <c r="M647" i="1"/>
  <c r="J646" i="1"/>
  <c r="K646" i="1"/>
  <c r="L646" i="1"/>
  <c r="M646" i="1"/>
  <c r="J645" i="1"/>
  <c r="K645" i="1"/>
  <c r="L645" i="1"/>
  <c r="M645" i="1"/>
  <c r="J644" i="1"/>
  <c r="K644" i="1"/>
  <c r="L644" i="1"/>
  <c r="M644" i="1"/>
  <c r="J643" i="1"/>
  <c r="K643" i="1"/>
  <c r="L643" i="1"/>
  <c r="M643" i="1"/>
  <c r="J642" i="1"/>
  <c r="K642" i="1"/>
  <c r="L642" i="1"/>
  <c r="M642" i="1"/>
  <c r="J641" i="1"/>
  <c r="K641" i="1"/>
  <c r="L641" i="1"/>
  <c r="M641" i="1"/>
  <c r="J640" i="1"/>
  <c r="K640" i="1"/>
  <c r="L640" i="1"/>
  <c r="M640" i="1"/>
  <c r="J639" i="1"/>
  <c r="K639" i="1"/>
  <c r="L639" i="1"/>
  <c r="M639" i="1"/>
  <c r="J638" i="1"/>
  <c r="K638" i="1"/>
  <c r="L638" i="1"/>
  <c r="M638" i="1"/>
  <c r="J637" i="1"/>
  <c r="K637" i="1"/>
  <c r="L637" i="1"/>
  <c r="M637" i="1"/>
  <c r="J636" i="1"/>
  <c r="K636" i="1"/>
  <c r="L636" i="1"/>
  <c r="M636" i="1"/>
  <c r="J635" i="1"/>
  <c r="K635" i="1"/>
  <c r="L635" i="1"/>
  <c r="M635" i="1"/>
  <c r="J634" i="1"/>
  <c r="K634" i="1"/>
  <c r="L634" i="1"/>
  <c r="M634" i="1"/>
  <c r="J633" i="1"/>
  <c r="K633" i="1"/>
  <c r="L633" i="1"/>
  <c r="M633" i="1"/>
  <c r="J632" i="1"/>
  <c r="K632" i="1"/>
  <c r="L632" i="1"/>
  <c r="M632" i="1"/>
  <c r="J631" i="1"/>
  <c r="K631" i="1"/>
  <c r="L631" i="1"/>
  <c r="M631" i="1"/>
  <c r="J630" i="1"/>
  <c r="K630" i="1"/>
  <c r="L630" i="1"/>
  <c r="M630" i="1"/>
  <c r="J629" i="1"/>
  <c r="K629" i="1"/>
  <c r="L629" i="1"/>
  <c r="M629" i="1"/>
  <c r="J628" i="1"/>
  <c r="K628" i="1"/>
  <c r="L628" i="1"/>
  <c r="M628" i="1"/>
  <c r="J627" i="1"/>
  <c r="K627" i="1"/>
  <c r="L627" i="1"/>
  <c r="M627" i="1"/>
  <c r="J626" i="1"/>
  <c r="K626" i="1"/>
  <c r="L626" i="1"/>
  <c r="M626" i="1"/>
  <c r="J625" i="1"/>
  <c r="K625" i="1"/>
  <c r="L625" i="1"/>
  <c r="M625" i="1"/>
  <c r="J624" i="1"/>
  <c r="K624" i="1"/>
  <c r="L624" i="1"/>
  <c r="M624" i="1"/>
  <c r="J623" i="1"/>
  <c r="K623" i="1"/>
  <c r="L623" i="1"/>
  <c r="M623" i="1"/>
  <c r="J622" i="1"/>
  <c r="K622" i="1"/>
  <c r="L622" i="1"/>
  <c r="M622" i="1"/>
  <c r="J621" i="1"/>
  <c r="K621" i="1"/>
  <c r="L621" i="1"/>
  <c r="M621" i="1"/>
  <c r="J620" i="1"/>
  <c r="K620" i="1"/>
  <c r="L620" i="1"/>
  <c r="M620" i="1"/>
  <c r="J619" i="1"/>
  <c r="K619" i="1"/>
  <c r="L619" i="1"/>
  <c r="M619" i="1"/>
  <c r="J618" i="1"/>
  <c r="K618" i="1"/>
  <c r="L618" i="1"/>
  <c r="M618" i="1"/>
  <c r="J617" i="1"/>
  <c r="K617" i="1"/>
  <c r="L617" i="1"/>
  <c r="M617" i="1"/>
  <c r="J616" i="1"/>
  <c r="K616" i="1"/>
  <c r="L616" i="1"/>
  <c r="M616" i="1"/>
  <c r="J615" i="1"/>
  <c r="K615" i="1"/>
  <c r="L615" i="1"/>
  <c r="M615" i="1"/>
  <c r="J614" i="1"/>
  <c r="K614" i="1"/>
  <c r="L614" i="1"/>
  <c r="M614" i="1"/>
  <c r="J613" i="1"/>
  <c r="K613" i="1"/>
  <c r="L613" i="1"/>
  <c r="M613" i="1"/>
  <c r="J612" i="1"/>
  <c r="K612" i="1"/>
  <c r="L612" i="1"/>
  <c r="M612" i="1"/>
  <c r="J611" i="1"/>
  <c r="K611" i="1"/>
  <c r="L611" i="1"/>
  <c r="M611" i="1"/>
  <c r="J610" i="1"/>
  <c r="K610" i="1"/>
  <c r="L610" i="1"/>
  <c r="M610" i="1"/>
  <c r="J609" i="1"/>
  <c r="K609" i="1"/>
  <c r="L609" i="1"/>
  <c r="M609" i="1"/>
  <c r="J608" i="1"/>
  <c r="K608" i="1"/>
  <c r="L608" i="1"/>
  <c r="M608" i="1"/>
  <c r="J607" i="1"/>
  <c r="K607" i="1"/>
  <c r="L607" i="1"/>
  <c r="M607" i="1"/>
  <c r="J606" i="1"/>
  <c r="K606" i="1"/>
  <c r="L606" i="1"/>
  <c r="M606" i="1"/>
  <c r="J605" i="1"/>
  <c r="K605" i="1"/>
  <c r="L605" i="1"/>
  <c r="M605" i="1"/>
  <c r="J604" i="1"/>
  <c r="K604" i="1"/>
  <c r="L604" i="1"/>
  <c r="M604" i="1"/>
  <c r="J603" i="1"/>
  <c r="K603" i="1"/>
  <c r="L603" i="1"/>
  <c r="M603" i="1"/>
  <c r="J602" i="1"/>
  <c r="K602" i="1"/>
  <c r="L602" i="1"/>
  <c r="M602" i="1"/>
  <c r="J601" i="1"/>
  <c r="K601" i="1"/>
  <c r="L601" i="1"/>
  <c r="M601" i="1"/>
  <c r="J600" i="1"/>
  <c r="K600" i="1"/>
  <c r="L600" i="1"/>
  <c r="M600" i="1"/>
  <c r="J599" i="1"/>
  <c r="K599" i="1"/>
  <c r="L599" i="1"/>
  <c r="M599" i="1"/>
  <c r="J598" i="1"/>
  <c r="K598" i="1"/>
  <c r="L598" i="1"/>
  <c r="M598" i="1"/>
  <c r="J597" i="1"/>
  <c r="K597" i="1"/>
  <c r="L597" i="1"/>
  <c r="M597" i="1"/>
  <c r="J596" i="1"/>
  <c r="K596" i="1"/>
  <c r="L596" i="1"/>
  <c r="M596" i="1"/>
  <c r="J595" i="1"/>
  <c r="K595" i="1"/>
  <c r="L595" i="1"/>
  <c r="M595" i="1"/>
  <c r="J594" i="1"/>
  <c r="K594" i="1"/>
  <c r="L594" i="1"/>
  <c r="M594" i="1"/>
  <c r="J593" i="1"/>
  <c r="K593" i="1"/>
  <c r="L593" i="1"/>
  <c r="M593" i="1"/>
  <c r="J592" i="1"/>
  <c r="K592" i="1"/>
  <c r="L592" i="1"/>
  <c r="M592" i="1"/>
  <c r="J591" i="1"/>
  <c r="K591" i="1"/>
  <c r="L591" i="1"/>
  <c r="M591" i="1"/>
  <c r="J590" i="1"/>
  <c r="K590" i="1"/>
  <c r="L590" i="1"/>
  <c r="M590" i="1"/>
  <c r="J589" i="1"/>
  <c r="K589" i="1"/>
  <c r="L589" i="1"/>
  <c r="M589" i="1"/>
  <c r="J588" i="1"/>
  <c r="K588" i="1"/>
  <c r="L588" i="1"/>
  <c r="M588" i="1"/>
  <c r="J587" i="1"/>
  <c r="K587" i="1"/>
  <c r="L587" i="1"/>
  <c r="M587" i="1"/>
  <c r="J586" i="1"/>
  <c r="K586" i="1"/>
  <c r="L586" i="1"/>
  <c r="M586" i="1"/>
  <c r="J585" i="1"/>
  <c r="K585" i="1"/>
  <c r="L585" i="1"/>
  <c r="M585" i="1"/>
  <c r="J584" i="1"/>
  <c r="K584" i="1"/>
  <c r="L584" i="1"/>
  <c r="M584" i="1"/>
  <c r="J583" i="1"/>
  <c r="K583" i="1"/>
  <c r="L583" i="1"/>
  <c r="M583" i="1"/>
  <c r="J582" i="1"/>
  <c r="K582" i="1"/>
  <c r="L582" i="1"/>
  <c r="M582" i="1"/>
  <c r="J581" i="1"/>
  <c r="K581" i="1"/>
  <c r="L581" i="1"/>
  <c r="M581" i="1"/>
  <c r="J580" i="1"/>
  <c r="K580" i="1"/>
  <c r="L580" i="1"/>
  <c r="M580" i="1"/>
  <c r="J579" i="1"/>
  <c r="K579" i="1"/>
  <c r="L579" i="1"/>
  <c r="M579" i="1"/>
  <c r="J578" i="1"/>
  <c r="K578" i="1"/>
  <c r="L578" i="1"/>
  <c r="M578" i="1"/>
  <c r="J577" i="1"/>
  <c r="K577" i="1"/>
  <c r="L577" i="1"/>
  <c r="M577" i="1"/>
  <c r="J576" i="1"/>
  <c r="K576" i="1"/>
  <c r="L576" i="1"/>
  <c r="M576" i="1"/>
  <c r="J575" i="1"/>
  <c r="K575" i="1"/>
  <c r="L575" i="1"/>
  <c r="M575" i="1"/>
  <c r="J574" i="1"/>
  <c r="K574" i="1"/>
  <c r="L574" i="1"/>
  <c r="M574" i="1"/>
  <c r="J573" i="1"/>
  <c r="K573" i="1"/>
  <c r="L573" i="1"/>
  <c r="M573" i="1"/>
  <c r="J572" i="1"/>
  <c r="K572" i="1"/>
  <c r="L572" i="1"/>
  <c r="M572" i="1"/>
  <c r="J571" i="1"/>
  <c r="K571" i="1"/>
  <c r="L571" i="1"/>
  <c r="M571" i="1"/>
  <c r="J570" i="1"/>
  <c r="K570" i="1"/>
  <c r="L570" i="1"/>
  <c r="M570" i="1"/>
  <c r="J569" i="1"/>
  <c r="K569" i="1"/>
  <c r="L569" i="1"/>
  <c r="M569" i="1"/>
  <c r="J568" i="1"/>
  <c r="K568" i="1"/>
  <c r="L568" i="1"/>
  <c r="M568" i="1"/>
  <c r="J567" i="1"/>
  <c r="K567" i="1"/>
  <c r="L567" i="1"/>
  <c r="M567" i="1"/>
  <c r="J566" i="1"/>
  <c r="K566" i="1"/>
  <c r="L566" i="1"/>
  <c r="M566" i="1"/>
  <c r="J565" i="1"/>
  <c r="K565" i="1"/>
  <c r="L565" i="1"/>
  <c r="M565" i="1"/>
  <c r="J564" i="1"/>
  <c r="K564" i="1"/>
  <c r="L564" i="1"/>
  <c r="M564" i="1"/>
  <c r="J563" i="1"/>
  <c r="K563" i="1"/>
  <c r="L563" i="1"/>
  <c r="M563" i="1"/>
  <c r="J562" i="1"/>
  <c r="K562" i="1"/>
  <c r="L562" i="1"/>
  <c r="M562" i="1"/>
  <c r="J561" i="1"/>
  <c r="K561" i="1"/>
  <c r="L561" i="1"/>
  <c r="M561" i="1"/>
  <c r="J560" i="1"/>
  <c r="K560" i="1"/>
  <c r="L560" i="1"/>
  <c r="M560" i="1"/>
  <c r="J559" i="1"/>
  <c r="K559" i="1"/>
  <c r="L559" i="1"/>
  <c r="M559" i="1"/>
  <c r="J558" i="1"/>
  <c r="K558" i="1"/>
  <c r="L558" i="1"/>
  <c r="M558" i="1"/>
  <c r="J557" i="1"/>
  <c r="K557" i="1"/>
  <c r="L557" i="1"/>
  <c r="M557" i="1"/>
  <c r="J556" i="1"/>
  <c r="K556" i="1"/>
  <c r="L556" i="1"/>
  <c r="M556" i="1"/>
  <c r="J555" i="1"/>
  <c r="K555" i="1"/>
  <c r="L555" i="1"/>
  <c r="M555" i="1"/>
  <c r="J554" i="1"/>
  <c r="K554" i="1"/>
  <c r="L554" i="1"/>
  <c r="M554" i="1"/>
  <c r="J553" i="1"/>
  <c r="K553" i="1"/>
  <c r="L553" i="1"/>
  <c r="M553" i="1"/>
  <c r="J552" i="1"/>
  <c r="K552" i="1"/>
  <c r="L552" i="1"/>
  <c r="M552" i="1"/>
  <c r="J551" i="1"/>
  <c r="K551" i="1"/>
  <c r="L551" i="1"/>
  <c r="M551" i="1"/>
  <c r="J550" i="1"/>
  <c r="K550" i="1"/>
  <c r="L550" i="1"/>
  <c r="M550" i="1"/>
  <c r="J549" i="1"/>
  <c r="K549" i="1"/>
  <c r="L549" i="1"/>
  <c r="M549" i="1"/>
  <c r="J548" i="1"/>
  <c r="K548" i="1"/>
  <c r="L548" i="1"/>
  <c r="M548" i="1"/>
  <c r="J547" i="1"/>
  <c r="K547" i="1"/>
  <c r="L547" i="1"/>
  <c r="M547" i="1"/>
  <c r="J546" i="1"/>
  <c r="K546" i="1"/>
  <c r="L546" i="1"/>
  <c r="M546" i="1"/>
  <c r="J545" i="1"/>
  <c r="K545" i="1"/>
  <c r="L545" i="1"/>
  <c r="M545" i="1"/>
  <c r="J544" i="1"/>
  <c r="K544" i="1"/>
  <c r="L544" i="1"/>
  <c r="M544" i="1"/>
  <c r="J543" i="1"/>
  <c r="K543" i="1"/>
  <c r="L543" i="1"/>
  <c r="M543" i="1"/>
  <c r="J542" i="1"/>
  <c r="K542" i="1"/>
  <c r="L542" i="1"/>
  <c r="M542" i="1"/>
  <c r="J541" i="1"/>
  <c r="K541" i="1"/>
  <c r="L541" i="1"/>
  <c r="M541" i="1"/>
  <c r="J540" i="1"/>
  <c r="K540" i="1"/>
  <c r="L540" i="1"/>
  <c r="M540" i="1"/>
  <c r="J539" i="1"/>
  <c r="K539" i="1"/>
  <c r="L539" i="1"/>
  <c r="M539" i="1"/>
  <c r="J538" i="1"/>
  <c r="K538" i="1"/>
  <c r="L538" i="1"/>
  <c r="M538" i="1"/>
  <c r="J537" i="1"/>
  <c r="K537" i="1"/>
  <c r="L537" i="1"/>
  <c r="M537" i="1"/>
  <c r="J536" i="1"/>
  <c r="K536" i="1"/>
  <c r="L536" i="1"/>
  <c r="M536" i="1"/>
  <c r="J535" i="1"/>
  <c r="K535" i="1"/>
  <c r="L535" i="1"/>
  <c r="M535" i="1"/>
  <c r="J534" i="1"/>
  <c r="K534" i="1"/>
  <c r="L534" i="1"/>
  <c r="M534" i="1"/>
  <c r="J533" i="1"/>
  <c r="K533" i="1"/>
  <c r="L533" i="1"/>
  <c r="M533" i="1"/>
  <c r="J532" i="1"/>
  <c r="K532" i="1"/>
  <c r="L532" i="1"/>
  <c r="M532" i="1"/>
  <c r="J531" i="1"/>
  <c r="K531" i="1"/>
  <c r="L531" i="1"/>
  <c r="M531" i="1"/>
  <c r="J530" i="1"/>
  <c r="K530" i="1"/>
  <c r="L530" i="1"/>
  <c r="M530" i="1"/>
  <c r="J529" i="1"/>
  <c r="K529" i="1"/>
  <c r="L529" i="1"/>
  <c r="M529" i="1"/>
  <c r="J528" i="1"/>
  <c r="K528" i="1"/>
  <c r="L528" i="1"/>
  <c r="M528" i="1"/>
  <c r="J527" i="1"/>
  <c r="K527" i="1"/>
  <c r="L527" i="1"/>
  <c r="M527" i="1"/>
  <c r="J526" i="1"/>
  <c r="K526" i="1"/>
  <c r="L526" i="1"/>
  <c r="M526" i="1"/>
  <c r="J525" i="1"/>
  <c r="K525" i="1"/>
  <c r="L525" i="1"/>
  <c r="M525" i="1"/>
  <c r="J524" i="1"/>
  <c r="K524" i="1"/>
  <c r="L524" i="1"/>
  <c r="M524" i="1"/>
  <c r="J523" i="1"/>
  <c r="K523" i="1"/>
  <c r="L523" i="1"/>
  <c r="M523" i="1"/>
  <c r="J522" i="1"/>
  <c r="K522" i="1"/>
  <c r="L522" i="1"/>
  <c r="M522" i="1"/>
  <c r="J521" i="1"/>
  <c r="K521" i="1"/>
  <c r="L521" i="1"/>
  <c r="M521" i="1"/>
  <c r="J520" i="1"/>
  <c r="K520" i="1"/>
  <c r="L520" i="1"/>
  <c r="M520" i="1"/>
  <c r="J519" i="1"/>
  <c r="K519" i="1"/>
  <c r="L519" i="1"/>
  <c r="M519" i="1"/>
  <c r="J518" i="1"/>
  <c r="K518" i="1"/>
  <c r="L518" i="1"/>
  <c r="M518" i="1"/>
  <c r="J517" i="1"/>
  <c r="K517" i="1"/>
  <c r="L517" i="1"/>
  <c r="M517" i="1"/>
  <c r="J516" i="1"/>
  <c r="K516" i="1"/>
  <c r="L516" i="1"/>
  <c r="M516" i="1"/>
  <c r="J515" i="1"/>
  <c r="K515" i="1"/>
  <c r="L515" i="1"/>
  <c r="M515" i="1"/>
  <c r="J514" i="1"/>
  <c r="K514" i="1"/>
  <c r="L514" i="1"/>
  <c r="M514" i="1"/>
  <c r="J513" i="1"/>
  <c r="K513" i="1"/>
  <c r="L513" i="1"/>
  <c r="M513" i="1"/>
  <c r="J512" i="1"/>
  <c r="K512" i="1"/>
  <c r="L512" i="1"/>
  <c r="M512" i="1"/>
  <c r="J511" i="1"/>
  <c r="K511" i="1"/>
  <c r="L511" i="1"/>
  <c r="M511" i="1"/>
  <c r="J510" i="1"/>
  <c r="K510" i="1"/>
  <c r="L510" i="1"/>
  <c r="M510" i="1"/>
  <c r="J509" i="1"/>
  <c r="K509" i="1"/>
  <c r="L509" i="1"/>
  <c r="M509" i="1"/>
  <c r="J508" i="1"/>
  <c r="K508" i="1"/>
  <c r="L508" i="1"/>
  <c r="M508" i="1"/>
  <c r="J507" i="1"/>
  <c r="K507" i="1"/>
  <c r="L507" i="1"/>
  <c r="M507" i="1"/>
  <c r="J506" i="1"/>
  <c r="K506" i="1"/>
  <c r="L506" i="1"/>
  <c r="M506" i="1"/>
  <c r="J505" i="1"/>
  <c r="K505" i="1"/>
  <c r="L505" i="1"/>
  <c r="M505" i="1"/>
  <c r="J504" i="1"/>
  <c r="K504" i="1"/>
  <c r="L504" i="1"/>
  <c r="M504" i="1"/>
  <c r="J503" i="1"/>
  <c r="K503" i="1"/>
  <c r="L503" i="1"/>
  <c r="M503" i="1"/>
  <c r="J502" i="1"/>
  <c r="K502" i="1"/>
  <c r="L502" i="1"/>
  <c r="M502" i="1"/>
  <c r="J501" i="1"/>
  <c r="K501" i="1"/>
  <c r="L501" i="1"/>
  <c r="M501" i="1"/>
  <c r="J500" i="1"/>
  <c r="K500" i="1"/>
  <c r="L500" i="1"/>
  <c r="M500" i="1"/>
  <c r="J499" i="1"/>
  <c r="K499" i="1"/>
  <c r="L499" i="1"/>
  <c r="M499" i="1"/>
  <c r="J498" i="1"/>
  <c r="K498" i="1"/>
  <c r="L498" i="1"/>
  <c r="M498" i="1"/>
  <c r="J497" i="1"/>
  <c r="K497" i="1"/>
  <c r="L497" i="1"/>
  <c r="M497" i="1"/>
  <c r="J496" i="1"/>
  <c r="K496" i="1"/>
  <c r="L496" i="1"/>
  <c r="M496" i="1"/>
  <c r="J495" i="1"/>
  <c r="K495" i="1"/>
  <c r="L495" i="1"/>
  <c r="M495" i="1"/>
  <c r="J494" i="1"/>
  <c r="K494" i="1"/>
  <c r="L494" i="1"/>
  <c r="M494" i="1"/>
  <c r="J493" i="1"/>
  <c r="K493" i="1"/>
  <c r="L493" i="1"/>
  <c r="M493" i="1"/>
  <c r="J492" i="1"/>
  <c r="K492" i="1"/>
  <c r="L492" i="1"/>
  <c r="M492" i="1"/>
  <c r="J491" i="1"/>
  <c r="K491" i="1"/>
  <c r="L491" i="1"/>
  <c r="M491" i="1"/>
  <c r="J490" i="1"/>
  <c r="K490" i="1"/>
  <c r="L490" i="1"/>
  <c r="M490" i="1"/>
  <c r="J489" i="1"/>
  <c r="K489" i="1"/>
  <c r="L489" i="1"/>
  <c r="M489" i="1"/>
  <c r="J488" i="1"/>
  <c r="K488" i="1"/>
  <c r="L488" i="1"/>
  <c r="M488" i="1"/>
  <c r="J487" i="1"/>
  <c r="K487" i="1"/>
  <c r="L487" i="1"/>
  <c r="M487" i="1"/>
  <c r="J486" i="1"/>
  <c r="K486" i="1"/>
  <c r="L486" i="1"/>
  <c r="M486" i="1"/>
  <c r="J485" i="1"/>
  <c r="K485" i="1"/>
  <c r="L485" i="1"/>
  <c r="M485" i="1"/>
  <c r="J484" i="1"/>
  <c r="K484" i="1"/>
  <c r="L484" i="1"/>
  <c r="M484" i="1"/>
  <c r="J483" i="1"/>
  <c r="K483" i="1"/>
  <c r="L483" i="1"/>
  <c r="M483" i="1"/>
  <c r="J482" i="1"/>
  <c r="K482" i="1"/>
  <c r="L482" i="1"/>
  <c r="M482" i="1"/>
  <c r="J481" i="1"/>
  <c r="K481" i="1"/>
  <c r="L481" i="1"/>
  <c r="M481" i="1"/>
  <c r="J480" i="1"/>
  <c r="K480" i="1"/>
  <c r="L480" i="1"/>
  <c r="M480" i="1"/>
  <c r="J479" i="1"/>
  <c r="K479" i="1"/>
  <c r="L479" i="1"/>
  <c r="M479" i="1"/>
  <c r="J478" i="1"/>
  <c r="K478" i="1"/>
  <c r="L478" i="1"/>
  <c r="M478" i="1"/>
  <c r="J477" i="1"/>
  <c r="K477" i="1"/>
  <c r="L477" i="1"/>
  <c r="M477" i="1"/>
  <c r="J476" i="1"/>
  <c r="K476" i="1"/>
  <c r="L476" i="1"/>
  <c r="M476" i="1"/>
  <c r="J475" i="1"/>
  <c r="K475" i="1"/>
  <c r="L475" i="1"/>
  <c r="M475" i="1"/>
  <c r="J474" i="1"/>
  <c r="K474" i="1"/>
  <c r="L474" i="1"/>
  <c r="M474" i="1"/>
  <c r="J473" i="1"/>
  <c r="K473" i="1"/>
  <c r="L473" i="1"/>
  <c r="M473" i="1"/>
  <c r="J472" i="1"/>
  <c r="K472" i="1"/>
  <c r="L472" i="1"/>
  <c r="M472" i="1"/>
  <c r="J471" i="1"/>
  <c r="K471" i="1"/>
  <c r="L471" i="1"/>
  <c r="M471" i="1"/>
  <c r="J470" i="1"/>
  <c r="K470" i="1"/>
  <c r="L470" i="1"/>
  <c r="M470" i="1"/>
  <c r="J469" i="1"/>
  <c r="K469" i="1"/>
  <c r="L469" i="1"/>
  <c r="M469" i="1"/>
  <c r="J468" i="1"/>
  <c r="K468" i="1"/>
  <c r="L468" i="1"/>
  <c r="M468" i="1"/>
  <c r="J467" i="1"/>
  <c r="K467" i="1"/>
  <c r="L467" i="1"/>
  <c r="M467" i="1"/>
  <c r="J466" i="1"/>
  <c r="K466" i="1"/>
  <c r="L466" i="1"/>
  <c r="M466" i="1"/>
  <c r="J465" i="1"/>
  <c r="K465" i="1"/>
  <c r="L465" i="1"/>
  <c r="M465" i="1"/>
  <c r="J464" i="1"/>
  <c r="K464" i="1"/>
  <c r="L464" i="1"/>
  <c r="M464" i="1"/>
  <c r="J463" i="1"/>
  <c r="K463" i="1"/>
  <c r="L463" i="1"/>
  <c r="M463" i="1"/>
  <c r="J462" i="1"/>
  <c r="K462" i="1"/>
  <c r="L462" i="1"/>
  <c r="M462" i="1"/>
  <c r="J461" i="1"/>
  <c r="K461" i="1"/>
  <c r="L461" i="1"/>
  <c r="M461" i="1"/>
  <c r="J460" i="1"/>
  <c r="K460" i="1"/>
  <c r="L460" i="1"/>
  <c r="M460" i="1"/>
  <c r="J459" i="1"/>
  <c r="K459" i="1"/>
  <c r="L459" i="1"/>
  <c r="M459" i="1"/>
  <c r="J458" i="1"/>
  <c r="K458" i="1"/>
  <c r="L458" i="1"/>
  <c r="M458" i="1"/>
  <c r="J457" i="1"/>
  <c r="K457" i="1"/>
  <c r="L457" i="1"/>
  <c r="M457" i="1"/>
  <c r="J456" i="1"/>
  <c r="K456" i="1"/>
  <c r="L456" i="1"/>
  <c r="M456" i="1"/>
  <c r="J455" i="1"/>
  <c r="K455" i="1"/>
  <c r="L455" i="1"/>
  <c r="M455" i="1"/>
  <c r="J454" i="1"/>
  <c r="K454" i="1"/>
  <c r="L454" i="1"/>
  <c r="M454" i="1"/>
  <c r="J453" i="1"/>
  <c r="K453" i="1"/>
  <c r="L453" i="1"/>
  <c r="M453" i="1"/>
  <c r="J452" i="1"/>
  <c r="K452" i="1"/>
  <c r="L452" i="1"/>
  <c r="M452" i="1"/>
  <c r="J451" i="1"/>
  <c r="K451" i="1"/>
  <c r="L451" i="1"/>
  <c r="M451" i="1"/>
  <c r="J450" i="1"/>
  <c r="K450" i="1"/>
  <c r="L450" i="1"/>
  <c r="M450" i="1"/>
  <c r="J449" i="1"/>
  <c r="K449" i="1"/>
  <c r="L449" i="1"/>
  <c r="M449" i="1"/>
  <c r="J448" i="1"/>
  <c r="K448" i="1"/>
  <c r="L448" i="1"/>
  <c r="M448" i="1"/>
  <c r="J447" i="1"/>
  <c r="K447" i="1"/>
  <c r="L447" i="1"/>
  <c r="M447" i="1"/>
  <c r="J446" i="1"/>
  <c r="K446" i="1"/>
  <c r="L446" i="1"/>
  <c r="M446" i="1"/>
  <c r="J445" i="1"/>
  <c r="K445" i="1"/>
  <c r="L445" i="1"/>
  <c r="M445" i="1"/>
  <c r="J444" i="1"/>
  <c r="K444" i="1"/>
  <c r="L444" i="1"/>
  <c r="M444" i="1"/>
  <c r="J443" i="1"/>
  <c r="K443" i="1"/>
  <c r="L443" i="1"/>
  <c r="M443" i="1"/>
  <c r="J442" i="1"/>
  <c r="K442" i="1"/>
  <c r="L442" i="1"/>
  <c r="M442" i="1"/>
  <c r="J441" i="1"/>
  <c r="K441" i="1"/>
  <c r="L441" i="1"/>
  <c r="M441" i="1"/>
  <c r="J440" i="1"/>
  <c r="K440" i="1"/>
  <c r="L440" i="1"/>
  <c r="M440" i="1"/>
  <c r="J439" i="1"/>
  <c r="K439" i="1"/>
  <c r="L439" i="1"/>
  <c r="M439" i="1"/>
  <c r="J438" i="1"/>
  <c r="K438" i="1"/>
  <c r="L438" i="1"/>
  <c r="M438" i="1"/>
  <c r="J437" i="1"/>
  <c r="K437" i="1"/>
  <c r="L437" i="1"/>
  <c r="M437" i="1"/>
  <c r="J436" i="1"/>
  <c r="K436" i="1"/>
  <c r="L436" i="1"/>
  <c r="M436" i="1"/>
  <c r="J435" i="1"/>
  <c r="K435" i="1"/>
  <c r="L435" i="1"/>
  <c r="M435" i="1"/>
  <c r="J434" i="1"/>
  <c r="K434" i="1"/>
  <c r="L434" i="1"/>
  <c r="M434" i="1"/>
  <c r="J433" i="1"/>
  <c r="K433" i="1"/>
  <c r="L433" i="1"/>
  <c r="M433" i="1"/>
  <c r="J432" i="1"/>
  <c r="K432" i="1"/>
  <c r="L432" i="1"/>
  <c r="M432" i="1"/>
  <c r="J431" i="1"/>
  <c r="K431" i="1"/>
  <c r="L431" i="1"/>
  <c r="M431" i="1"/>
  <c r="J430" i="1"/>
  <c r="K430" i="1"/>
  <c r="L430" i="1"/>
  <c r="M430" i="1"/>
  <c r="J429" i="1"/>
  <c r="K429" i="1"/>
  <c r="L429" i="1"/>
  <c r="M429" i="1"/>
  <c r="J428" i="1"/>
  <c r="K428" i="1"/>
  <c r="L428" i="1"/>
  <c r="M428" i="1"/>
  <c r="J427" i="1"/>
  <c r="K427" i="1"/>
  <c r="L427" i="1"/>
  <c r="M427" i="1"/>
  <c r="J426" i="1"/>
  <c r="K426" i="1"/>
  <c r="L426" i="1"/>
  <c r="M426" i="1"/>
  <c r="J425" i="1"/>
  <c r="K425" i="1"/>
  <c r="L425" i="1"/>
  <c r="M425" i="1"/>
  <c r="J424" i="1"/>
  <c r="K424" i="1"/>
  <c r="L424" i="1"/>
  <c r="M424" i="1"/>
  <c r="J423" i="1"/>
  <c r="K423" i="1"/>
  <c r="L423" i="1"/>
  <c r="M423" i="1"/>
  <c r="J422" i="1"/>
  <c r="K422" i="1"/>
  <c r="L422" i="1"/>
  <c r="M422" i="1"/>
  <c r="J421" i="1"/>
  <c r="K421" i="1"/>
  <c r="L421" i="1"/>
  <c r="M421" i="1"/>
  <c r="J420" i="1"/>
  <c r="K420" i="1"/>
  <c r="L420" i="1"/>
  <c r="M420" i="1"/>
  <c r="J419" i="1"/>
  <c r="K419" i="1"/>
  <c r="L419" i="1"/>
  <c r="M419" i="1"/>
  <c r="J418" i="1"/>
  <c r="K418" i="1"/>
  <c r="L418" i="1"/>
  <c r="M418" i="1"/>
  <c r="J417" i="1"/>
  <c r="K417" i="1"/>
  <c r="L417" i="1"/>
  <c r="M417" i="1"/>
  <c r="J416" i="1"/>
  <c r="K416" i="1"/>
  <c r="L416" i="1"/>
  <c r="M416" i="1"/>
  <c r="J415" i="1"/>
  <c r="K415" i="1"/>
  <c r="L415" i="1"/>
  <c r="M415" i="1"/>
  <c r="J414" i="1"/>
  <c r="K414" i="1"/>
  <c r="L414" i="1"/>
  <c r="M414" i="1"/>
  <c r="J413" i="1"/>
  <c r="K413" i="1"/>
  <c r="L413" i="1"/>
  <c r="M413" i="1"/>
  <c r="J412" i="1"/>
  <c r="K412" i="1"/>
  <c r="L412" i="1"/>
  <c r="M412" i="1"/>
  <c r="J411" i="1"/>
  <c r="K411" i="1"/>
  <c r="L411" i="1"/>
  <c r="M411" i="1"/>
  <c r="J410" i="1"/>
  <c r="K410" i="1"/>
  <c r="L410" i="1"/>
  <c r="M410" i="1"/>
  <c r="J409" i="1"/>
  <c r="K409" i="1"/>
  <c r="L409" i="1"/>
  <c r="M409" i="1"/>
  <c r="J408" i="1"/>
  <c r="K408" i="1"/>
  <c r="L408" i="1"/>
  <c r="M408" i="1"/>
  <c r="J407" i="1"/>
  <c r="K407" i="1"/>
  <c r="L407" i="1"/>
  <c r="M407" i="1"/>
  <c r="J406" i="1"/>
  <c r="K406" i="1"/>
  <c r="L406" i="1"/>
  <c r="M406" i="1"/>
  <c r="J405" i="1"/>
  <c r="K405" i="1"/>
  <c r="L405" i="1"/>
  <c r="M405" i="1"/>
  <c r="J404" i="1"/>
  <c r="K404" i="1"/>
  <c r="L404" i="1"/>
  <c r="M404" i="1"/>
  <c r="J403" i="1"/>
  <c r="K403" i="1"/>
  <c r="L403" i="1"/>
  <c r="M403" i="1"/>
  <c r="J402" i="1"/>
  <c r="K402" i="1"/>
  <c r="L402" i="1"/>
  <c r="M402" i="1"/>
  <c r="J401" i="1"/>
  <c r="K401" i="1"/>
  <c r="L401" i="1"/>
  <c r="M401" i="1"/>
  <c r="J400" i="1"/>
  <c r="K400" i="1"/>
  <c r="L400" i="1"/>
  <c r="M400" i="1"/>
  <c r="J399" i="1"/>
  <c r="K399" i="1"/>
  <c r="L399" i="1"/>
  <c r="M399" i="1"/>
  <c r="J398" i="1"/>
  <c r="K398" i="1"/>
  <c r="L398" i="1"/>
  <c r="M398" i="1"/>
  <c r="J397" i="1"/>
  <c r="K397" i="1"/>
  <c r="L397" i="1"/>
  <c r="M397" i="1"/>
  <c r="J396" i="1"/>
  <c r="K396" i="1"/>
  <c r="L396" i="1"/>
  <c r="M396" i="1"/>
  <c r="J395" i="1"/>
  <c r="K395" i="1"/>
  <c r="L395" i="1"/>
  <c r="M395" i="1"/>
  <c r="J394" i="1"/>
  <c r="K394" i="1"/>
  <c r="L394" i="1"/>
  <c r="M394" i="1"/>
  <c r="J393" i="1"/>
  <c r="K393" i="1"/>
  <c r="L393" i="1"/>
  <c r="M393" i="1"/>
  <c r="J392" i="1"/>
  <c r="K392" i="1"/>
  <c r="L392" i="1"/>
  <c r="M392" i="1"/>
  <c r="J391" i="1"/>
  <c r="K391" i="1"/>
  <c r="L391" i="1"/>
  <c r="M391" i="1"/>
  <c r="J390" i="1"/>
  <c r="K390" i="1"/>
  <c r="L390" i="1"/>
  <c r="M390" i="1"/>
  <c r="J389" i="1"/>
  <c r="K389" i="1"/>
  <c r="L389" i="1"/>
  <c r="M389" i="1"/>
  <c r="J388" i="1"/>
  <c r="K388" i="1"/>
  <c r="L388" i="1"/>
  <c r="M388" i="1"/>
  <c r="J387" i="1"/>
  <c r="K387" i="1"/>
  <c r="L387" i="1"/>
  <c r="M387" i="1"/>
  <c r="J386" i="1"/>
  <c r="K386" i="1"/>
  <c r="L386" i="1"/>
  <c r="M386" i="1"/>
  <c r="J385" i="1"/>
  <c r="K385" i="1"/>
  <c r="L385" i="1"/>
  <c r="M385" i="1"/>
  <c r="J384" i="1"/>
  <c r="K384" i="1"/>
  <c r="L384" i="1"/>
  <c r="M384" i="1"/>
  <c r="J383" i="1"/>
  <c r="K383" i="1"/>
  <c r="L383" i="1"/>
  <c r="M383" i="1"/>
  <c r="J382" i="1"/>
  <c r="K382" i="1"/>
  <c r="L382" i="1"/>
  <c r="M382" i="1"/>
  <c r="J381" i="1"/>
  <c r="K381" i="1"/>
  <c r="L381" i="1"/>
  <c r="M381" i="1"/>
  <c r="J380" i="1"/>
  <c r="K380" i="1"/>
  <c r="L380" i="1"/>
  <c r="M380" i="1"/>
  <c r="J379" i="1"/>
  <c r="K379" i="1"/>
  <c r="L379" i="1"/>
  <c r="M379" i="1"/>
  <c r="J378" i="1"/>
  <c r="K378" i="1"/>
  <c r="L378" i="1"/>
  <c r="M378" i="1"/>
  <c r="J377" i="1"/>
  <c r="K377" i="1"/>
  <c r="L377" i="1"/>
  <c r="M377" i="1"/>
  <c r="J376" i="1"/>
  <c r="K376" i="1"/>
  <c r="L376" i="1"/>
  <c r="M376" i="1"/>
  <c r="J375" i="1"/>
  <c r="K375" i="1"/>
  <c r="L375" i="1"/>
  <c r="M375" i="1"/>
  <c r="J374" i="1"/>
  <c r="K374" i="1"/>
  <c r="L374" i="1"/>
  <c r="M374" i="1"/>
  <c r="J373" i="1"/>
  <c r="K373" i="1"/>
  <c r="L373" i="1"/>
  <c r="M373" i="1"/>
  <c r="J372" i="1"/>
  <c r="K372" i="1"/>
  <c r="L372" i="1"/>
  <c r="M372" i="1"/>
  <c r="J371" i="1"/>
  <c r="K371" i="1"/>
  <c r="L371" i="1"/>
  <c r="M371" i="1"/>
  <c r="J370" i="1"/>
  <c r="K370" i="1"/>
  <c r="L370" i="1"/>
  <c r="M370" i="1"/>
  <c r="J369" i="1"/>
  <c r="K369" i="1"/>
  <c r="L369" i="1"/>
  <c r="M369" i="1"/>
  <c r="J368" i="1"/>
  <c r="K368" i="1"/>
  <c r="L368" i="1"/>
  <c r="M368" i="1"/>
  <c r="J367" i="1"/>
  <c r="K367" i="1"/>
  <c r="L367" i="1"/>
  <c r="M367" i="1"/>
  <c r="J366" i="1"/>
  <c r="K366" i="1"/>
  <c r="L366" i="1"/>
  <c r="M366" i="1"/>
  <c r="J365" i="1"/>
  <c r="K365" i="1"/>
  <c r="L365" i="1"/>
  <c r="M365" i="1"/>
  <c r="J364" i="1"/>
  <c r="K364" i="1"/>
  <c r="L364" i="1"/>
  <c r="M364" i="1"/>
  <c r="J363" i="1"/>
  <c r="K363" i="1"/>
  <c r="L363" i="1"/>
  <c r="M363" i="1"/>
  <c r="J362" i="1"/>
  <c r="K362" i="1"/>
  <c r="L362" i="1"/>
  <c r="M362" i="1"/>
  <c r="J361" i="1"/>
  <c r="K361" i="1"/>
  <c r="L361" i="1"/>
  <c r="M361" i="1"/>
  <c r="J360" i="1"/>
  <c r="K360" i="1"/>
  <c r="L360" i="1"/>
  <c r="M360" i="1"/>
  <c r="J359" i="1"/>
  <c r="K359" i="1"/>
  <c r="L359" i="1"/>
  <c r="M359" i="1"/>
  <c r="J358" i="1"/>
  <c r="K358" i="1"/>
  <c r="L358" i="1"/>
  <c r="M358" i="1"/>
  <c r="J357" i="1"/>
  <c r="K357" i="1"/>
  <c r="L357" i="1"/>
  <c r="M357" i="1"/>
  <c r="J356" i="1"/>
  <c r="K356" i="1"/>
  <c r="L356" i="1"/>
  <c r="M356" i="1"/>
  <c r="J355" i="1"/>
  <c r="K355" i="1"/>
  <c r="L355" i="1"/>
  <c r="M355" i="1"/>
  <c r="J354" i="1"/>
  <c r="K354" i="1"/>
  <c r="L354" i="1"/>
  <c r="M354" i="1"/>
  <c r="J353" i="1"/>
  <c r="K353" i="1"/>
  <c r="L353" i="1"/>
  <c r="M353" i="1"/>
  <c r="J352" i="1"/>
  <c r="K352" i="1"/>
  <c r="L352" i="1"/>
  <c r="M352" i="1"/>
  <c r="J351" i="1"/>
  <c r="K351" i="1"/>
  <c r="L351" i="1"/>
  <c r="M351" i="1"/>
  <c r="J350" i="1"/>
  <c r="K350" i="1"/>
  <c r="L350" i="1"/>
  <c r="M350" i="1"/>
  <c r="J349" i="1"/>
  <c r="K349" i="1"/>
  <c r="L349" i="1"/>
  <c r="M349" i="1"/>
  <c r="J348" i="1"/>
  <c r="K348" i="1"/>
  <c r="L348" i="1"/>
  <c r="M348" i="1"/>
  <c r="J347" i="1"/>
  <c r="K347" i="1"/>
  <c r="L347" i="1"/>
  <c r="M347" i="1"/>
  <c r="J346" i="1"/>
  <c r="K346" i="1"/>
  <c r="L346" i="1"/>
  <c r="M346" i="1"/>
  <c r="J345" i="1"/>
  <c r="K345" i="1"/>
  <c r="L345" i="1"/>
  <c r="M345" i="1"/>
  <c r="J344" i="1"/>
  <c r="K344" i="1"/>
  <c r="L344" i="1"/>
  <c r="M344" i="1"/>
  <c r="J343" i="1"/>
  <c r="K343" i="1"/>
  <c r="L343" i="1"/>
  <c r="M343" i="1"/>
  <c r="J342" i="1"/>
  <c r="K342" i="1"/>
  <c r="L342" i="1"/>
  <c r="M342" i="1"/>
  <c r="J341" i="1"/>
  <c r="K341" i="1"/>
  <c r="L341" i="1"/>
  <c r="M341" i="1"/>
  <c r="J340" i="1"/>
  <c r="K340" i="1"/>
  <c r="L340" i="1"/>
  <c r="M340" i="1"/>
  <c r="J339" i="1"/>
  <c r="K339" i="1"/>
  <c r="L339" i="1"/>
  <c r="M339" i="1"/>
  <c r="J338" i="1"/>
  <c r="K338" i="1"/>
  <c r="L338" i="1"/>
  <c r="M338" i="1"/>
  <c r="J337" i="1"/>
  <c r="K337" i="1"/>
  <c r="L337" i="1"/>
  <c r="M337" i="1"/>
  <c r="J336" i="1"/>
  <c r="K336" i="1"/>
  <c r="L336" i="1"/>
  <c r="M336" i="1"/>
  <c r="J335" i="1"/>
  <c r="K335" i="1"/>
  <c r="L335" i="1"/>
  <c r="M335" i="1"/>
  <c r="J334" i="1"/>
  <c r="K334" i="1"/>
  <c r="L334" i="1"/>
  <c r="M334" i="1"/>
  <c r="J333" i="1"/>
  <c r="K333" i="1"/>
  <c r="L333" i="1"/>
  <c r="M333" i="1"/>
  <c r="J332" i="1"/>
  <c r="K332" i="1"/>
  <c r="L332" i="1"/>
  <c r="M332" i="1"/>
  <c r="J331" i="1"/>
  <c r="K331" i="1"/>
  <c r="L331" i="1"/>
  <c r="M331" i="1"/>
  <c r="J330" i="1"/>
  <c r="K330" i="1"/>
  <c r="L330" i="1"/>
  <c r="M330" i="1"/>
  <c r="J329" i="1"/>
  <c r="K329" i="1"/>
  <c r="L329" i="1"/>
  <c r="M329" i="1"/>
  <c r="J328" i="1"/>
  <c r="K328" i="1"/>
  <c r="L328" i="1"/>
  <c r="M328" i="1"/>
  <c r="J327" i="1"/>
  <c r="K327" i="1"/>
  <c r="L327" i="1"/>
  <c r="M327" i="1"/>
  <c r="J326" i="1"/>
  <c r="K326" i="1"/>
  <c r="L326" i="1"/>
  <c r="M326" i="1"/>
  <c r="J325" i="1"/>
  <c r="K325" i="1"/>
  <c r="L325" i="1"/>
  <c r="M325" i="1"/>
  <c r="J324" i="1"/>
  <c r="K324" i="1"/>
  <c r="L324" i="1"/>
  <c r="M324" i="1"/>
  <c r="J323" i="1"/>
  <c r="K323" i="1"/>
  <c r="L323" i="1"/>
  <c r="M323" i="1"/>
  <c r="J322" i="1"/>
  <c r="K322" i="1"/>
  <c r="L322" i="1"/>
  <c r="M322" i="1"/>
  <c r="J321" i="1"/>
  <c r="K321" i="1"/>
  <c r="L321" i="1"/>
  <c r="M321" i="1"/>
  <c r="J320" i="1"/>
  <c r="K320" i="1"/>
  <c r="L320" i="1"/>
  <c r="M320" i="1"/>
  <c r="J319" i="1"/>
  <c r="K319" i="1"/>
  <c r="L319" i="1"/>
  <c r="M319" i="1"/>
  <c r="J318" i="1"/>
  <c r="K318" i="1"/>
  <c r="L318" i="1"/>
  <c r="M318" i="1"/>
  <c r="J317" i="1"/>
  <c r="K317" i="1"/>
  <c r="L317" i="1"/>
  <c r="M317" i="1"/>
  <c r="J316" i="1"/>
  <c r="K316" i="1"/>
  <c r="L316" i="1"/>
  <c r="M316" i="1"/>
  <c r="J315" i="1"/>
  <c r="K315" i="1"/>
  <c r="L315" i="1"/>
  <c r="M315" i="1"/>
  <c r="J314" i="1"/>
  <c r="K314" i="1"/>
  <c r="L314" i="1"/>
  <c r="M314" i="1"/>
  <c r="J313" i="1"/>
  <c r="K313" i="1"/>
  <c r="L313" i="1"/>
  <c r="M313" i="1"/>
  <c r="J312" i="1"/>
  <c r="K312" i="1"/>
  <c r="L312" i="1"/>
  <c r="M312" i="1"/>
  <c r="J311" i="1"/>
  <c r="K311" i="1"/>
  <c r="L311" i="1"/>
  <c r="M311" i="1"/>
  <c r="J310" i="1"/>
  <c r="K310" i="1"/>
  <c r="L310" i="1"/>
  <c r="M310" i="1"/>
  <c r="J309" i="1"/>
  <c r="K309" i="1"/>
  <c r="L309" i="1"/>
  <c r="M309" i="1"/>
  <c r="J308" i="1"/>
  <c r="K308" i="1"/>
  <c r="L308" i="1"/>
  <c r="M308" i="1"/>
  <c r="J307" i="1"/>
  <c r="K307" i="1"/>
  <c r="L307" i="1"/>
  <c r="M307" i="1"/>
  <c r="J306" i="1"/>
  <c r="K306" i="1"/>
  <c r="L306" i="1"/>
  <c r="M306" i="1"/>
  <c r="J305" i="1"/>
  <c r="K305" i="1"/>
  <c r="L305" i="1"/>
  <c r="M305" i="1"/>
  <c r="J304" i="1"/>
  <c r="K304" i="1"/>
  <c r="L304" i="1"/>
  <c r="M304" i="1"/>
  <c r="J303" i="1"/>
  <c r="K303" i="1"/>
  <c r="L303" i="1"/>
  <c r="M303" i="1"/>
  <c r="J302" i="1"/>
  <c r="K302" i="1"/>
  <c r="L302" i="1"/>
  <c r="M302" i="1"/>
  <c r="J301" i="1"/>
  <c r="K301" i="1"/>
  <c r="L301" i="1"/>
  <c r="M301" i="1"/>
  <c r="J300" i="1"/>
  <c r="K300" i="1"/>
  <c r="L300" i="1"/>
  <c r="M300" i="1"/>
  <c r="J299" i="1"/>
  <c r="K299" i="1"/>
  <c r="L299" i="1"/>
  <c r="M299" i="1"/>
  <c r="J298" i="1"/>
  <c r="K298" i="1"/>
  <c r="L298" i="1"/>
  <c r="M298" i="1"/>
  <c r="J297" i="1"/>
  <c r="K297" i="1"/>
  <c r="L297" i="1"/>
  <c r="M297" i="1"/>
  <c r="J296" i="1"/>
  <c r="K296" i="1"/>
  <c r="L296" i="1"/>
  <c r="M296" i="1"/>
  <c r="J295" i="1"/>
  <c r="K295" i="1"/>
  <c r="L295" i="1"/>
  <c r="M295" i="1"/>
  <c r="J294" i="1"/>
  <c r="K294" i="1"/>
  <c r="L294" i="1"/>
  <c r="M294" i="1"/>
  <c r="J293" i="1"/>
  <c r="K293" i="1"/>
  <c r="L293" i="1"/>
  <c r="M293" i="1"/>
  <c r="J292" i="1"/>
  <c r="K292" i="1"/>
  <c r="L292" i="1"/>
  <c r="M292" i="1"/>
  <c r="J291" i="1"/>
  <c r="K291" i="1"/>
  <c r="L291" i="1"/>
  <c r="M291" i="1"/>
  <c r="J290" i="1"/>
  <c r="K290" i="1"/>
  <c r="L290" i="1"/>
  <c r="M290" i="1"/>
  <c r="J289" i="1"/>
  <c r="K289" i="1"/>
  <c r="L289" i="1"/>
  <c r="M289" i="1"/>
  <c r="J288" i="1"/>
  <c r="K288" i="1"/>
  <c r="L288" i="1"/>
  <c r="M288" i="1"/>
  <c r="J287" i="1"/>
  <c r="K287" i="1"/>
  <c r="L287" i="1"/>
  <c r="M287" i="1"/>
  <c r="J286" i="1"/>
  <c r="K286" i="1"/>
  <c r="L286" i="1"/>
  <c r="M286" i="1"/>
  <c r="J285" i="1"/>
  <c r="K285" i="1"/>
  <c r="L285" i="1"/>
  <c r="M285" i="1"/>
  <c r="J284" i="1"/>
  <c r="K284" i="1"/>
  <c r="L284" i="1"/>
  <c r="M284" i="1"/>
  <c r="J283" i="1"/>
  <c r="K283" i="1"/>
  <c r="L283" i="1"/>
  <c r="M283" i="1"/>
  <c r="J282" i="1"/>
  <c r="K282" i="1"/>
  <c r="L282" i="1"/>
  <c r="M282" i="1"/>
  <c r="J281" i="1"/>
  <c r="K281" i="1"/>
  <c r="L281" i="1"/>
  <c r="M281" i="1"/>
  <c r="J280" i="1"/>
  <c r="K280" i="1"/>
  <c r="L280" i="1"/>
  <c r="M280" i="1"/>
  <c r="J279" i="1"/>
  <c r="K279" i="1"/>
  <c r="L279" i="1"/>
  <c r="M279" i="1"/>
  <c r="J278" i="1"/>
  <c r="K278" i="1"/>
  <c r="L278" i="1"/>
  <c r="M278" i="1"/>
  <c r="J277" i="1"/>
  <c r="K277" i="1"/>
  <c r="L277" i="1"/>
  <c r="M277" i="1"/>
  <c r="J276" i="1"/>
  <c r="K276" i="1"/>
  <c r="L276" i="1"/>
  <c r="M276" i="1"/>
  <c r="J275" i="1"/>
  <c r="K275" i="1"/>
  <c r="L275" i="1"/>
  <c r="M275" i="1"/>
  <c r="J274" i="1"/>
  <c r="K274" i="1"/>
  <c r="L274" i="1"/>
  <c r="M274" i="1"/>
  <c r="J273" i="1"/>
  <c r="K273" i="1"/>
  <c r="L273" i="1"/>
  <c r="M273" i="1"/>
  <c r="J272" i="1"/>
  <c r="K272" i="1"/>
  <c r="L272" i="1"/>
  <c r="M272" i="1"/>
  <c r="J271" i="1"/>
  <c r="K271" i="1"/>
  <c r="L271" i="1"/>
  <c r="M271" i="1"/>
  <c r="J270" i="1"/>
  <c r="K270" i="1"/>
  <c r="L270" i="1"/>
  <c r="M270" i="1"/>
  <c r="J269" i="1"/>
  <c r="K269" i="1"/>
  <c r="L269" i="1"/>
  <c r="M269" i="1"/>
  <c r="J268" i="1"/>
  <c r="K268" i="1"/>
  <c r="L268" i="1"/>
  <c r="M268" i="1"/>
  <c r="J267" i="1"/>
  <c r="K267" i="1"/>
  <c r="L267" i="1"/>
  <c r="M267" i="1"/>
  <c r="J266" i="1"/>
  <c r="K266" i="1"/>
  <c r="L266" i="1"/>
  <c r="M266" i="1"/>
  <c r="J265" i="1"/>
  <c r="K265" i="1"/>
  <c r="L265" i="1"/>
  <c r="M265" i="1"/>
  <c r="J264" i="1"/>
  <c r="K264" i="1"/>
  <c r="L264" i="1"/>
  <c r="M264" i="1"/>
  <c r="J263" i="1"/>
  <c r="K263" i="1"/>
  <c r="L263" i="1"/>
  <c r="M263" i="1"/>
  <c r="J262" i="1"/>
  <c r="K262" i="1"/>
  <c r="L262" i="1"/>
  <c r="M262" i="1"/>
  <c r="J261" i="1"/>
  <c r="K261" i="1"/>
  <c r="L261" i="1"/>
  <c r="M261" i="1"/>
  <c r="J260" i="1"/>
  <c r="K260" i="1"/>
  <c r="L260" i="1"/>
  <c r="M260" i="1"/>
  <c r="J259" i="1"/>
  <c r="K259" i="1"/>
  <c r="L259" i="1"/>
  <c r="M259" i="1"/>
  <c r="J258" i="1"/>
  <c r="K258" i="1"/>
  <c r="L258" i="1"/>
  <c r="M258" i="1"/>
  <c r="J257" i="1"/>
  <c r="K257" i="1"/>
  <c r="L257" i="1"/>
  <c r="M257" i="1"/>
  <c r="J256" i="1"/>
  <c r="K256" i="1"/>
  <c r="L256" i="1"/>
  <c r="M256" i="1"/>
  <c r="J255" i="1"/>
  <c r="K255" i="1"/>
  <c r="L255" i="1"/>
  <c r="M255" i="1"/>
  <c r="J254" i="1"/>
  <c r="K254" i="1"/>
  <c r="L254" i="1"/>
  <c r="M254" i="1"/>
  <c r="J253" i="1"/>
  <c r="K253" i="1"/>
  <c r="L253" i="1"/>
  <c r="M253" i="1"/>
  <c r="J252" i="1"/>
  <c r="K252" i="1"/>
  <c r="L252" i="1"/>
  <c r="M252" i="1"/>
  <c r="J251" i="1"/>
  <c r="K251" i="1"/>
  <c r="L251" i="1"/>
  <c r="M251" i="1"/>
  <c r="J250" i="1"/>
  <c r="K250" i="1"/>
  <c r="L250" i="1"/>
  <c r="M250" i="1"/>
  <c r="J249" i="1"/>
  <c r="K249" i="1"/>
  <c r="L249" i="1"/>
  <c r="M249" i="1"/>
  <c r="J248" i="1"/>
  <c r="K248" i="1"/>
  <c r="L248" i="1"/>
  <c r="M248" i="1"/>
  <c r="J247" i="1"/>
  <c r="K247" i="1"/>
  <c r="L247" i="1"/>
  <c r="M247" i="1"/>
  <c r="J246" i="1"/>
  <c r="K246" i="1"/>
  <c r="L246" i="1"/>
  <c r="M246" i="1"/>
  <c r="J245" i="1"/>
  <c r="K245" i="1"/>
  <c r="L245" i="1"/>
  <c r="M245" i="1"/>
  <c r="J244" i="1"/>
  <c r="K244" i="1"/>
  <c r="L244" i="1"/>
  <c r="M244" i="1"/>
  <c r="J243" i="1"/>
  <c r="K243" i="1"/>
  <c r="L243" i="1"/>
  <c r="M243" i="1"/>
  <c r="J242" i="1"/>
  <c r="K242" i="1"/>
  <c r="L242" i="1"/>
  <c r="M242" i="1"/>
  <c r="J241" i="1"/>
  <c r="K241" i="1"/>
  <c r="L241" i="1"/>
  <c r="M241" i="1"/>
  <c r="J240" i="1"/>
  <c r="K240" i="1"/>
  <c r="L240" i="1"/>
  <c r="M240" i="1"/>
  <c r="J239" i="1"/>
  <c r="K239" i="1"/>
  <c r="L239" i="1"/>
  <c r="M239" i="1"/>
  <c r="J238" i="1"/>
  <c r="K238" i="1"/>
  <c r="L238" i="1"/>
  <c r="M238" i="1"/>
  <c r="J237" i="1"/>
  <c r="K237" i="1"/>
  <c r="L237" i="1"/>
  <c r="M237" i="1"/>
  <c r="J236" i="1"/>
  <c r="K236" i="1"/>
  <c r="L236" i="1"/>
  <c r="M236" i="1"/>
  <c r="J235" i="1"/>
  <c r="K235" i="1"/>
  <c r="L235" i="1"/>
  <c r="M235" i="1"/>
  <c r="J234" i="1"/>
  <c r="K234" i="1"/>
  <c r="L234" i="1"/>
  <c r="M234" i="1"/>
  <c r="J233" i="1"/>
  <c r="K233" i="1"/>
  <c r="L233" i="1"/>
  <c r="M233" i="1"/>
  <c r="J232" i="1"/>
  <c r="K232" i="1"/>
  <c r="L232" i="1"/>
  <c r="M232" i="1"/>
  <c r="J231" i="1"/>
  <c r="K231" i="1"/>
  <c r="L231" i="1"/>
  <c r="M231" i="1"/>
  <c r="J230" i="1"/>
  <c r="K230" i="1"/>
  <c r="L230" i="1"/>
  <c r="M230" i="1"/>
  <c r="J229" i="1"/>
  <c r="K229" i="1"/>
  <c r="L229" i="1"/>
  <c r="M229" i="1"/>
  <c r="J228" i="1"/>
  <c r="K228" i="1"/>
  <c r="L228" i="1"/>
  <c r="M228" i="1"/>
  <c r="J227" i="1"/>
  <c r="K227" i="1"/>
  <c r="L227" i="1"/>
  <c r="M227" i="1"/>
  <c r="J226" i="1"/>
  <c r="K226" i="1"/>
  <c r="L226" i="1"/>
  <c r="M226" i="1"/>
  <c r="J225" i="1"/>
  <c r="K225" i="1"/>
  <c r="L225" i="1"/>
  <c r="M225" i="1"/>
  <c r="J224" i="1"/>
  <c r="K224" i="1"/>
  <c r="L224" i="1"/>
  <c r="M224" i="1"/>
  <c r="J223" i="1"/>
  <c r="K223" i="1"/>
  <c r="L223" i="1"/>
  <c r="M223" i="1"/>
  <c r="J222" i="1"/>
  <c r="K222" i="1"/>
  <c r="L222" i="1"/>
  <c r="M222" i="1"/>
  <c r="J221" i="1"/>
  <c r="K221" i="1"/>
  <c r="L221" i="1"/>
  <c r="M221" i="1"/>
  <c r="J220" i="1"/>
  <c r="K220" i="1"/>
  <c r="L220" i="1"/>
  <c r="M220" i="1"/>
  <c r="J219" i="1"/>
  <c r="K219" i="1"/>
  <c r="L219" i="1"/>
  <c r="M219" i="1"/>
  <c r="J218" i="1"/>
  <c r="K218" i="1"/>
  <c r="L218" i="1"/>
  <c r="M218" i="1"/>
  <c r="J217" i="1"/>
  <c r="K217" i="1"/>
  <c r="L217" i="1"/>
  <c r="M217" i="1"/>
  <c r="J216" i="1"/>
  <c r="K216" i="1"/>
  <c r="L216" i="1"/>
  <c r="M216" i="1"/>
  <c r="J215" i="1"/>
  <c r="K215" i="1"/>
  <c r="L215" i="1"/>
  <c r="M215" i="1"/>
  <c r="J214" i="1"/>
  <c r="K214" i="1"/>
  <c r="L214" i="1"/>
  <c r="M214" i="1"/>
  <c r="J213" i="1"/>
  <c r="K213" i="1"/>
  <c r="L213" i="1"/>
  <c r="M213" i="1"/>
  <c r="J212" i="1"/>
  <c r="K212" i="1"/>
  <c r="L212" i="1"/>
  <c r="M212" i="1"/>
  <c r="J211" i="1"/>
  <c r="K211" i="1"/>
  <c r="L211" i="1"/>
  <c r="M211" i="1"/>
  <c r="J210" i="1"/>
  <c r="K210" i="1"/>
  <c r="L210" i="1"/>
  <c r="M210" i="1"/>
  <c r="J209" i="1"/>
  <c r="K209" i="1"/>
  <c r="L209" i="1"/>
  <c r="M209" i="1"/>
  <c r="J208" i="1"/>
  <c r="K208" i="1"/>
  <c r="L208" i="1"/>
  <c r="M208" i="1"/>
  <c r="J207" i="1"/>
  <c r="K207" i="1"/>
  <c r="L207" i="1"/>
  <c r="M207" i="1"/>
  <c r="J206" i="1"/>
  <c r="K206" i="1"/>
  <c r="L206" i="1"/>
  <c r="M206" i="1"/>
  <c r="J205" i="1"/>
  <c r="K205" i="1"/>
  <c r="L205" i="1"/>
  <c r="M205" i="1"/>
  <c r="J204" i="1"/>
  <c r="K204" i="1"/>
  <c r="L204" i="1"/>
  <c r="M204" i="1"/>
  <c r="J203" i="1"/>
  <c r="K203" i="1"/>
  <c r="L203" i="1"/>
  <c r="M203" i="1"/>
  <c r="J202" i="1"/>
  <c r="K202" i="1"/>
  <c r="L202" i="1"/>
  <c r="M202" i="1"/>
  <c r="J201" i="1"/>
  <c r="K201" i="1"/>
  <c r="L201" i="1"/>
  <c r="M201" i="1"/>
  <c r="J200" i="1"/>
  <c r="K200" i="1"/>
  <c r="L200" i="1"/>
  <c r="M200" i="1"/>
  <c r="J199" i="1"/>
  <c r="K199" i="1"/>
  <c r="L199" i="1"/>
  <c r="M199" i="1"/>
  <c r="J198" i="1"/>
  <c r="K198" i="1"/>
  <c r="L198" i="1"/>
  <c r="M198" i="1"/>
  <c r="J197" i="1"/>
  <c r="K197" i="1"/>
  <c r="L197" i="1"/>
  <c r="M197" i="1"/>
  <c r="J196" i="1"/>
  <c r="K196" i="1"/>
  <c r="L196" i="1"/>
  <c r="M196" i="1"/>
  <c r="J195" i="1"/>
  <c r="K195" i="1"/>
  <c r="L195" i="1"/>
  <c r="M195" i="1"/>
  <c r="J194" i="1"/>
  <c r="K194" i="1"/>
  <c r="L194" i="1"/>
  <c r="M194" i="1"/>
  <c r="J193" i="1"/>
  <c r="K193" i="1"/>
  <c r="L193" i="1"/>
  <c r="M193" i="1"/>
  <c r="J192" i="1"/>
  <c r="K192" i="1"/>
  <c r="L192" i="1"/>
  <c r="M192" i="1"/>
  <c r="J191" i="1"/>
  <c r="K191" i="1"/>
  <c r="L191" i="1"/>
  <c r="M191" i="1"/>
  <c r="J190" i="1"/>
  <c r="K190" i="1"/>
  <c r="L190" i="1"/>
  <c r="M190" i="1"/>
  <c r="J189" i="1"/>
  <c r="K189" i="1"/>
  <c r="L189" i="1"/>
  <c r="M189" i="1"/>
  <c r="J188" i="1"/>
  <c r="K188" i="1"/>
  <c r="L188" i="1"/>
  <c r="M188" i="1"/>
  <c r="J187" i="1"/>
  <c r="K187" i="1"/>
  <c r="L187" i="1"/>
  <c r="M187" i="1"/>
  <c r="J186" i="1"/>
  <c r="K186" i="1"/>
  <c r="L186" i="1"/>
  <c r="M186" i="1"/>
  <c r="J185" i="1"/>
  <c r="K185" i="1"/>
  <c r="L185" i="1"/>
  <c r="M185" i="1"/>
  <c r="J184" i="1"/>
  <c r="K184" i="1"/>
  <c r="L184" i="1"/>
  <c r="M184" i="1"/>
  <c r="J183" i="1"/>
  <c r="K183" i="1"/>
  <c r="L183" i="1"/>
  <c r="M183" i="1"/>
  <c r="J182" i="1"/>
  <c r="K182" i="1"/>
  <c r="L182" i="1"/>
  <c r="M182" i="1"/>
  <c r="J181" i="1"/>
  <c r="K181" i="1"/>
  <c r="L181" i="1"/>
  <c r="M181" i="1"/>
  <c r="J180" i="1"/>
  <c r="K180" i="1"/>
  <c r="L180" i="1"/>
  <c r="M180" i="1"/>
  <c r="J179" i="1"/>
  <c r="K179" i="1"/>
  <c r="L179" i="1"/>
  <c r="M179" i="1"/>
  <c r="J178" i="1"/>
  <c r="K178" i="1"/>
  <c r="L178" i="1"/>
  <c r="M178" i="1"/>
  <c r="J177" i="1"/>
  <c r="K177" i="1"/>
  <c r="L177" i="1"/>
  <c r="M177" i="1"/>
  <c r="J176" i="1"/>
  <c r="K176" i="1"/>
  <c r="L176" i="1"/>
  <c r="M176" i="1"/>
  <c r="J175" i="1"/>
  <c r="K175" i="1"/>
  <c r="L175" i="1"/>
  <c r="M175" i="1"/>
  <c r="J174" i="1"/>
  <c r="K174" i="1"/>
  <c r="L174" i="1"/>
  <c r="M174" i="1"/>
  <c r="J173" i="1"/>
  <c r="K173" i="1"/>
  <c r="L173" i="1"/>
  <c r="M173" i="1"/>
  <c r="J172" i="1"/>
  <c r="K172" i="1"/>
  <c r="L172" i="1"/>
  <c r="M172" i="1"/>
  <c r="J171" i="1"/>
  <c r="K171" i="1"/>
  <c r="L171" i="1"/>
  <c r="M171" i="1"/>
  <c r="J170" i="1"/>
  <c r="K170" i="1"/>
  <c r="L170" i="1"/>
  <c r="M170" i="1"/>
  <c r="J169" i="1"/>
  <c r="K169" i="1"/>
  <c r="L169" i="1"/>
  <c r="M169" i="1"/>
  <c r="J168" i="1"/>
  <c r="K168" i="1"/>
  <c r="L168" i="1"/>
  <c r="M168" i="1"/>
  <c r="J167" i="1"/>
  <c r="K167" i="1"/>
  <c r="L167" i="1"/>
  <c r="M167" i="1"/>
  <c r="J166" i="1"/>
  <c r="K166" i="1"/>
  <c r="L166" i="1"/>
  <c r="M166" i="1"/>
  <c r="J165" i="1"/>
  <c r="K165" i="1"/>
  <c r="L165" i="1"/>
  <c r="M165" i="1"/>
  <c r="J164" i="1"/>
  <c r="K164" i="1"/>
  <c r="L164" i="1"/>
  <c r="M164" i="1"/>
  <c r="J163" i="1"/>
  <c r="K163" i="1"/>
  <c r="L163" i="1"/>
  <c r="M163" i="1"/>
  <c r="J162" i="1"/>
  <c r="K162" i="1"/>
  <c r="L162" i="1"/>
  <c r="M162" i="1"/>
  <c r="J161" i="1"/>
  <c r="K161" i="1"/>
  <c r="L161" i="1"/>
  <c r="M161" i="1"/>
  <c r="J160" i="1"/>
  <c r="K160" i="1"/>
  <c r="L160" i="1"/>
  <c r="M160" i="1"/>
  <c r="J159" i="1"/>
  <c r="K159" i="1"/>
  <c r="L159" i="1"/>
  <c r="M159" i="1"/>
  <c r="J158" i="1"/>
  <c r="K158" i="1"/>
  <c r="L158" i="1"/>
  <c r="M158" i="1"/>
  <c r="J157" i="1"/>
  <c r="K157" i="1"/>
  <c r="L157" i="1"/>
  <c r="M157" i="1"/>
  <c r="J156" i="1"/>
  <c r="K156" i="1"/>
  <c r="L156" i="1"/>
  <c r="M156" i="1"/>
  <c r="J155" i="1"/>
  <c r="K155" i="1"/>
  <c r="L155" i="1"/>
  <c r="M155" i="1"/>
  <c r="J154" i="1"/>
  <c r="K154" i="1"/>
  <c r="L154" i="1"/>
  <c r="M154" i="1"/>
  <c r="J153" i="1"/>
  <c r="K153" i="1"/>
  <c r="L153" i="1"/>
  <c r="M153" i="1"/>
  <c r="J152" i="1"/>
  <c r="K152" i="1"/>
  <c r="L152" i="1"/>
  <c r="M152" i="1"/>
  <c r="J151" i="1"/>
  <c r="K151" i="1"/>
  <c r="L151" i="1"/>
  <c r="M151" i="1"/>
  <c r="J150" i="1"/>
  <c r="K150" i="1"/>
  <c r="L150" i="1"/>
  <c r="M150" i="1"/>
  <c r="J149" i="1"/>
  <c r="K149" i="1"/>
  <c r="L149" i="1"/>
  <c r="M149" i="1"/>
  <c r="J148" i="1"/>
  <c r="K148" i="1"/>
  <c r="L148" i="1"/>
  <c r="M148" i="1"/>
  <c r="J147" i="1"/>
  <c r="K147" i="1"/>
  <c r="L147" i="1"/>
  <c r="M147" i="1"/>
  <c r="J146" i="1"/>
  <c r="K146" i="1"/>
  <c r="L146" i="1"/>
  <c r="M146" i="1"/>
  <c r="J145" i="1"/>
  <c r="K145" i="1"/>
  <c r="L145" i="1"/>
  <c r="M145" i="1"/>
  <c r="J144" i="1"/>
  <c r="K144" i="1"/>
  <c r="L144" i="1"/>
  <c r="M144" i="1"/>
  <c r="J143" i="1"/>
  <c r="K143" i="1"/>
  <c r="L143" i="1"/>
  <c r="M143" i="1"/>
  <c r="J142" i="1"/>
  <c r="K142" i="1"/>
  <c r="L142" i="1"/>
  <c r="M142" i="1"/>
  <c r="J141" i="1"/>
  <c r="K141" i="1"/>
  <c r="L141" i="1"/>
  <c r="M141" i="1"/>
  <c r="J140" i="1"/>
  <c r="K140" i="1"/>
  <c r="L140" i="1"/>
  <c r="M140" i="1"/>
  <c r="J139" i="1"/>
  <c r="K139" i="1"/>
  <c r="L139" i="1"/>
  <c r="M139" i="1"/>
  <c r="J138" i="1"/>
  <c r="K138" i="1"/>
  <c r="L138" i="1"/>
  <c r="M138" i="1"/>
  <c r="J137" i="1"/>
  <c r="K137" i="1"/>
  <c r="L137" i="1"/>
  <c r="M137" i="1"/>
  <c r="J136" i="1"/>
  <c r="K136" i="1"/>
  <c r="L136" i="1"/>
  <c r="M136" i="1"/>
  <c r="J135" i="1"/>
  <c r="K135" i="1"/>
  <c r="L135" i="1"/>
  <c r="M135" i="1"/>
  <c r="J134" i="1"/>
  <c r="K134" i="1"/>
  <c r="L134" i="1"/>
  <c r="M134" i="1"/>
  <c r="J133" i="1"/>
  <c r="K133" i="1"/>
  <c r="L133" i="1"/>
  <c r="M133" i="1"/>
  <c r="J132" i="1"/>
  <c r="K132" i="1"/>
  <c r="L132" i="1"/>
  <c r="M132" i="1"/>
  <c r="J131" i="1"/>
  <c r="K131" i="1"/>
  <c r="L131" i="1"/>
  <c r="M131" i="1"/>
  <c r="J130" i="1"/>
  <c r="K130" i="1"/>
  <c r="L130" i="1"/>
  <c r="M130" i="1"/>
  <c r="J129" i="1"/>
  <c r="K129" i="1"/>
  <c r="L129" i="1"/>
  <c r="M129" i="1"/>
  <c r="J128" i="1"/>
  <c r="K128" i="1"/>
  <c r="L128" i="1"/>
  <c r="M128" i="1"/>
  <c r="J127" i="1"/>
  <c r="K127" i="1"/>
  <c r="L127" i="1"/>
  <c r="M127" i="1"/>
  <c r="J126" i="1"/>
  <c r="K126" i="1"/>
  <c r="L126" i="1"/>
  <c r="M126" i="1"/>
  <c r="J125" i="1"/>
  <c r="K125" i="1"/>
  <c r="L125" i="1"/>
  <c r="M125" i="1"/>
  <c r="J124" i="1"/>
  <c r="K124" i="1"/>
  <c r="L124" i="1"/>
  <c r="M124" i="1"/>
  <c r="J123" i="1"/>
  <c r="K123" i="1"/>
  <c r="L123" i="1"/>
  <c r="M123" i="1"/>
  <c r="J122" i="1"/>
  <c r="K122" i="1"/>
  <c r="L122" i="1"/>
  <c r="M122" i="1"/>
  <c r="J121" i="1"/>
  <c r="K121" i="1"/>
  <c r="L121" i="1"/>
  <c r="M121" i="1"/>
  <c r="J120" i="1"/>
  <c r="K120" i="1"/>
  <c r="L120" i="1"/>
  <c r="M120" i="1"/>
  <c r="J119" i="1"/>
  <c r="K119" i="1"/>
  <c r="L119" i="1"/>
  <c r="M119" i="1"/>
  <c r="J118" i="1"/>
  <c r="K118" i="1"/>
  <c r="L118" i="1"/>
  <c r="M118" i="1"/>
  <c r="J117" i="1"/>
  <c r="K117" i="1"/>
  <c r="L117" i="1"/>
  <c r="M117" i="1"/>
  <c r="J116" i="1"/>
  <c r="K116" i="1"/>
  <c r="L116" i="1"/>
  <c r="M116" i="1"/>
  <c r="J115" i="1"/>
  <c r="K115" i="1"/>
  <c r="L115" i="1"/>
  <c r="M115" i="1"/>
  <c r="J114" i="1"/>
  <c r="K114" i="1"/>
  <c r="L114" i="1"/>
  <c r="M114" i="1"/>
  <c r="J113" i="1"/>
  <c r="K113" i="1"/>
  <c r="L113" i="1"/>
  <c r="M113" i="1"/>
  <c r="J112" i="1"/>
  <c r="K112" i="1"/>
  <c r="L112" i="1"/>
  <c r="M112" i="1"/>
  <c r="J111" i="1"/>
  <c r="K111" i="1"/>
  <c r="L111" i="1"/>
  <c r="M111" i="1"/>
  <c r="J110" i="1"/>
  <c r="K110" i="1"/>
  <c r="L110" i="1"/>
  <c r="M110" i="1"/>
  <c r="J109" i="1"/>
  <c r="K109" i="1"/>
  <c r="L109" i="1"/>
  <c r="M109" i="1"/>
  <c r="J108" i="1"/>
  <c r="K108" i="1"/>
  <c r="L108" i="1"/>
  <c r="M108" i="1"/>
  <c r="J107" i="1"/>
  <c r="K107" i="1"/>
  <c r="L107" i="1"/>
  <c r="M107" i="1"/>
  <c r="J106" i="1"/>
  <c r="K106" i="1"/>
  <c r="L106" i="1"/>
  <c r="M106" i="1"/>
  <c r="J105" i="1"/>
  <c r="K105" i="1"/>
  <c r="L105" i="1"/>
  <c r="M105" i="1"/>
  <c r="J104" i="1"/>
  <c r="K104" i="1"/>
  <c r="L104" i="1"/>
  <c r="M104" i="1"/>
  <c r="J103" i="1"/>
  <c r="K103" i="1"/>
  <c r="L103" i="1"/>
  <c r="M103" i="1"/>
  <c r="J102" i="1"/>
  <c r="K102" i="1"/>
  <c r="L102" i="1"/>
  <c r="M102" i="1"/>
  <c r="J101" i="1"/>
  <c r="K101" i="1"/>
  <c r="L101" i="1"/>
  <c r="M101" i="1"/>
  <c r="J100" i="1"/>
  <c r="K100" i="1"/>
  <c r="L100" i="1"/>
  <c r="M100" i="1"/>
  <c r="J99" i="1"/>
  <c r="K99" i="1"/>
  <c r="L99" i="1"/>
  <c r="M99" i="1"/>
  <c r="J98" i="1"/>
  <c r="K98" i="1"/>
  <c r="L98" i="1"/>
  <c r="M98" i="1"/>
  <c r="J97" i="1"/>
  <c r="K97" i="1"/>
  <c r="L97" i="1"/>
  <c r="M97" i="1"/>
  <c r="J96" i="1"/>
  <c r="K96" i="1"/>
  <c r="L96" i="1"/>
  <c r="M96" i="1"/>
  <c r="J95" i="1"/>
  <c r="K95" i="1"/>
  <c r="L95" i="1"/>
  <c r="M95" i="1"/>
  <c r="J94" i="1"/>
  <c r="K94" i="1"/>
  <c r="L94" i="1"/>
  <c r="M94" i="1"/>
  <c r="J93" i="1"/>
  <c r="K93" i="1"/>
  <c r="L93" i="1"/>
  <c r="M93" i="1"/>
  <c r="J92" i="1"/>
  <c r="K92" i="1"/>
  <c r="L92" i="1"/>
  <c r="M92" i="1"/>
  <c r="J91" i="1"/>
  <c r="K91" i="1"/>
  <c r="L91" i="1"/>
  <c r="M91" i="1"/>
  <c r="J90" i="1"/>
  <c r="K90" i="1"/>
  <c r="L90" i="1"/>
  <c r="M90" i="1"/>
  <c r="J89" i="1"/>
  <c r="K89" i="1"/>
  <c r="L89" i="1"/>
  <c r="M89" i="1"/>
  <c r="J88" i="1"/>
  <c r="K88" i="1"/>
  <c r="L88" i="1"/>
  <c r="M88" i="1"/>
  <c r="J87" i="1"/>
  <c r="K87" i="1"/>
  <c r="L87" i="1"/>
  <c r="M87" i="1"/>
  <c r="J86" i="1"/>
  <c r="K86" i="1"/>
  <c r="L86" i="1"/>
  <c r="M86" i="1"/>
  <c r="J85" i="1"/>
  <c r="K85" i="1"/>
  <c r="L85" i="1"/>
  <c r="M85" i="1"/>
  <c r="J84" i="1"/>
  <c r="K84" i="1"/>
  <c r="L84" i="1"/>
  <c r="M84" i="1"/>
  <c r="J83" i="1"/>
  <c r="K83" i="1"/>
  <c r="L83" i="1"/>
  <c r="M83" i="1"/>
  <c r="J82" i="1"/>
  <c r="K82" i="1"/>
  <c r="L82" i="1"/>
  <c r="M82" i="1"/>
  <c r="J81" i="1"/>
  <c r="K81" i="1"/>
  <c r="L81" i="1"/>
  <c r="M81" i="1"/>
  <c r="J80" i="1"/>
  <c r="K80" i="1"/>
  <c r="L80" i="1"/>
  <c r="M80" i="1"/>
  <c r="J79" i="1"/>
  <c r="K79" i="1"/>
  <c r="L79" i="1"/>
  <c r="M79" i="1"/>
  <c r="J78" i="1"/>
  <c r="K78" i="1"/>
  <c r="L78" i="1"/>
  <c r="M78" i="1"/>
  <c r="J77" i="1"/>
  <c r="K77" i="1"/>
  <c r="L77" i="1"/>
  <c r="M77" i="1"/>
  <c r="J76" i="1"/>
  <c r="K76" i="1"/>
  <c r="L76" i="1"/>
  <c r="M76" i="1"/>
  <c r="J75" i="1"/>
  <c r="K75" i="1"/>
  <c r="L75" i="1"/>
  <c r="M75" i="1"/>
  <c r="J74" i="1"/>
  <c r="K74" i="1"/>
  <c r="L74" i="1"/>
  <c r="M74" i="1"/>
  <c r="J73" i="1"/>
  <c r="K73" i="1"/>
  <c r="L73" i="1"/>
  <c r="M73" i="1"/>
  <c r="J72" i="1"/>
  <c r="K72" i="1"/>
  <c r="L72" i="1"/>
  <c r="M72" i="1"/>
  <c r="J71" i="1"/>
  <c r="K71" i="1"/>
  <c r="L71" i="1"/>
  <c r="M71" i="1"/>
  <c r="J70" i="1"/>
  <c r="K70" i="1"/>
  <c r="L70" i="1"/>
  <c r="M70" i="1"/>
  <c r="J69" i="1"/>
  <c r="K69" i="1"/>
  <c r="L69" i="1"/>
  <c r="M69" i="1"/>
  <c r="J68" i="1"/>
  <c r="K68" i="1"/>
  <c r="L68" i="1"/>
  <c r="M68" i="1"/>
  <c r="J67" i="1"/>
  <c r="K67" i="1"/>
  <c r="L67" i="1"/>
  <c r="M67" i="1"/>
  <c r="J66" i="1"/>
  <c r="K66" i="1"/>
  <c r="L66" i="1"/>
  <c r="M66" i="1"/>
  <c r="J65" i="1"/>
  <c r="K65" i="1"/>
  <c r="L65" i="1"/>
  <c r="M65" i="1"/>
  <c r="J64" i="1"/>
  <c r="K64" i="1"/>
  <c r="L64" i="1"/>
  <c r="M64" i="1"/>
  <c r="J63" i="1"/>
  <c r="K63" i="1"/>
  <c r="L63" i="1"/>
  <c r="M63" i="1"/>
  <c r="J62" i="1"/>
  <c r="K62" i="1"/>
  <c r="L62" i="1"/>
  <c r="M62" i="1"/>
  <c r="J61" i="1"/>
  <c r="K61" i="1"/>
  <c r="L61" i="1"/>
  <c r="M61" i="1"/>
  <c r="J60" i="1"/>
  <c r="K60" i="1"/>
  <c r="L60" i="1"/>
  <c r="M60" i="1"/>
  <c r="J59" i="1"/>
  <c r="K59" i="1"/>
  <c r="L59" i="1"/>
  <c r="M59" i="1"/>
  <c r="J58" i="1"/>
  <c r="K58" i="1"/>
  <c r="L58" i="1"/>
  <c r="M58" i="1"/>
  <c r="J57" i="1"/>
  <c r="K57" i="1"/>
  <c r="L57" i="1"/>
  <c r="M57" i="1"/>
  <c r="J56" i="1"/>
  <c r="K56" i="1"/>
  <c r="L56" i="1"/>
  <c r="M56" i="1"/>
  <c r="J55" i="1"/>
  <c r="K55" i="1"/>
  <c r="L55" i="1"/>
  <c r="M55" i="1"/>
  <c r="J54" i="1"/>
  <c r="K54" i="1"/>
  <c r="L54" i="1"/>
  <c r="M54" i="1"/>
  <c r="J53" i="1"/>
  <c r="K53" i="1"/>
  <c r="L53" i="1"/>
  <c r="M53" i="1"/>
  <c r="J52" i="1"/>
  <c r="K52" i="1"/>
  <c r="L52" i="1"/>
  <c r="M52" i="1"/>
  <c r="J51" i="1"/>
  <c r="K51" i="1"/>
  <c r="L51" i="1"/>
  <c r="M51" i="1"/>
  <c r="J50" i="1"/>
  <c r="K50" i="1"/>
  <c r="L50" i="1"/>
  <c r="M50" i="1"/>
  <c r="J49" i="1"/>
  <c r="K49" i="1"/>
  <c r="L49" i="1"/>
  <c r="M49" i="1"/>
  <c r="J48" i="1"/>
  <c r="K48" i="1"/>
  <c r="L48" i="1"/>
  <c r="M48" i="1"/>
  <c r="J47" i="1"/>
  <c r="K47" i="1"/>
  <c r="L47" i="1"/>
  <c r="M47" i="1"/>
  <c r="J46" i="1"/>
  <c r="K46" i="1"/>
  <c r="L46" i="1"/>
  <c r="M46" i="1"/>
  <c r="J45" i="1"/>
  <c r="K45" i="1"/>
  <c r="L45" i="1"/>
  <c r="M45" i="1"/>
  <c r="J44" i="1"/>
  <c r="K44" i="1"/>
  <c r="L44" i="1"/>
  <c r="M44" i="1"/>
  <c r="J43" i="1"/>
  <c r="K43" i="1"/>
  <c r="L43" i="1"/>
  <c r="M43" i="1"/>
  <c r="J42" i="1"/>
  <c r="K42" i="1"/>
  <c r="L42" i="1"/>
  <c r="M42" i="1"/>
  <c r="J41" i="1"/>
  <c r="K41" i="1"/>
  <c r="L41" i="1"/>
  <c r="M41" i="1"/>
  <c r="J40" i="1"/>
  <c r="K40" i="1"/>
  <c r="L40" i="1"/>
  <c r="M40" i="1"/>
  <c r="J39" i="1"/>
  <c r="K39" i="1"/>
  <c r="L39" i="1"/>
  <c r="M39" i="1"/>
  <c r="J38" i="1"/>
  <c r="K38" i="1"/>
  <c r="L38" i="1"/>
  <c r="M38" i="1"/>
  <c r="J37" i="1"/>
  <c r="K37" i="1"/>
  <c r="L37" i="1"/>
  <c r="M37" i="1"/>
  <c r="J36" i="1"/>
  <c r="K36" i="1"/>
  <c r="L36" i="1"/>
  <c r="M36" i="1"/>
  <c r="J35" i="1"/>
  <c r="K35" i="1"/>
  <c r="L35" i="1"/>
  <c r="M35" i="1"/>
  <c r="J34" i="1"/>
  <c r="K34" i="1"/>
  <c r="L34" i="1"/>
  <c r="M34" i="1"/>
  <c r="J33" i="1"/>
  <c r="K33" i="1"/>
  <c r="L33" i="1"/>
  <c r="M33" i="1"/>
  <c r="J32" i="1"/>
  <c r="K32" i="1"/>
  <c r="L32" i="1"/>
  <c r="M32" i="1"/>
  <c r="J31" i="1"/>
  <c r="K31" i="1"/>
  <c r="L31" i="1"/>
  <c r="M31" i="1"/>
  <c r="J30" i="1"/>
  <c r="K30" i="1"/>
  <c r="L30" i="1"/>
  <c r="M30" i="1"/>
  <c r="J29" i="1"/>
  <c r="K29" i="1"/>
  <c r="L29" i="1"/>
  <c r="M29" i="1"/>
  <c r="J28" i="1"/>
  <c r="K28" i="1"/>
  <c r="L28" i="1"/>
  <c r="M28" i="1"/>
  <c r="J27" i="1"/>
  <c r="K27" i="1"/>
  <c r="L27" i="1"/>
  <c r="M27" i="1"/>
  <c r="J26" i="1"/>
  <c r="K26" i="1"/>
  <c r="L26" i="1"/>
  <c r="M26" i="1"/>
  <c r="J25" i="1"/>
  <c r="K25" i="1"/>
  <c r="L25" i="1"/>
  <c r="M25" i="1"/>
  <c r="J24" i="1"/>
  <c r="K24" i="1"/>
  <c r="L24" i="1"/>
  <c r="M24" i="1"/>
  <c r="J23" i="1"/>
  <c r="K23" i="1"/>
  <c r="L23" i="1"/>
  <c r="M23" i="1"/>
  <c r="J22" i="1"/>
  <c r="K22" i="1"/>
  <c r="L22" i="1"/>
  <c r="M22" i="1"/>
  <c r="J21" i="1"/>
  <c r="K21" i="1"/>
  <c r="L21" i="1"/>
  <c r="M21" i="1"/>
  <c r="J20" i="1"/>
  <c r="K20" i="1"/>
  <c r="L20" i="1"/>
  <c r="M20" i="1"/>
  <c r="J19" i="1"/>
  <c r="K19" i="1"/>
  <c r="L19" i="1"/>
  <c r="M19" i="1"/>
  <c r="J18" i="1"/>
  <c r="K18" i="1"/>
  <c r="L18" i="1"/>
  <c r="M18" i="1"/>
  <c r="J17" i="1"/>
  <c r="K17" i="1"/>
  <c r="L17" i="1"/>
  <c r="M17" i="1"/>
  <c r="J16" i="1"/>
  <c r="K16" i="1"/>
  <c r="L16" i="1"/>
  <c r="M16" i="1"/>
  <c r="J15" i="1"/>
  <c r="K15" i="1"/>
  <c r="L15" i="1"/>
  <c r="M15" i="1"/>
  <c r="J14" i="1"/>
  <c r="K14" i="1"/>
  <c r="L14" i="1"/>
  <c r="M14" i="1"/>
  <c r="J13" i="1"/>
  <c r="K13" i="1"/>
  <c r="L13" i="1"/>
  <c r="M13" i="1"/>
  <c r="J12" i="1"/>
  <c r="K12" i="1"/>
  <c r="L12" i="1"/>
  <c r="M12" i="1"/>
  <c r="J11" i="1"/>
  <c r="K11" i="1"/>
  <c r="L11" i="1"/>
  <c r="M11" i="1"/>
  <c r="J8" i="1"/>
  <c r="K8" i="1"/>
  <c r="L8" i="1"/>
  <c r="M8" i="1"/>
  <c r="J7" i="1"/>
  <c r="K7" i="1"/>
  <c r="L7" i="1"/>
  <c r="M7" i="1"/>
  <c r="J4" i="1"/>
  <c r="K4" i="1"/>
  <c r="L4" i="1"/>
  <c r="M4" i="1"/>
  <c r="J3" i="1"/>
  <c r="K3" i="1"/>
  <c r="L3" i="1"/>
  <c r="M3" i="1"/>
  <c r="J2" i="1"/>
  <c r="K2" i="1"/>
  <c r="L2" i="1"/>
  <c r="M2" i="1"/>
  <c r="B8" i="3"/>
  <c r="B9" i="3"/>
  <c r="B2" i="3"/>
  <c r="B10" i="3"/>
  <c r="A1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B42" i="3"/>
  <c r="B41" i="3"/>
  <c r="B40" i="3"/>
  <c r="B37" i="3"/>
  <c r="B36" i="3"/>
  <c r="B35" i="3"/>
  <c r="B13" i="3"/>
  <c r="B18" i="3"/>
  <c r="B14" i="3"/>
  <c r="B15" i="3"/>
  <c r="B16" i="3"/>
  <c r="B17" i="3"/>
  <c r="C13" i="3"/>
  <c r="C18" i="3"/>
  <c r="C17" i="3"/>
  <c r="C16" i="3"/>
  <c r="C15" i="3"/>
  <c r="C14" i="3"/>
  <c r="C40" i="3"/>
  <c r="C41" i="3"/>
  <c r="C42" i="3"/>
  <c r="O998" i="1"/>
  <c r="O994" i="1"/>
  <c r="O990" i="1"/>
  <c r="O986" i="1"/>
  <c r="O982" i="1"/>
  <c r="O966" i="1"/>
  <c r="O962" i="1"/>
  <c r="O958" i="1"/>
  <c r="O954" i="1"/>
  <c r="O950" i="1"/>
  <c r="O934" i="1"/>
  <c r="O930" i="1"/>
  <c r="O926" i="1"/>
  <c r="O922" i="1"/>
  <c r="O918" i="1"/>
  <c r="O829" i="1"/>
  <c r="O825" i="1"/>
  <c r="O805" i="1"/>
  <c r="O797" i="1"/>
  <c r="O793" i="1"/>
  <c r="O761" i="1"/>
  <c r="O757" i="1"/>
  <c r="O749" i="1"/>
  <c r="O729" i="1"/>
  <c r="O725" i="1"/>
  <c r="O721" i="1"/>
  <c r="O689" i="1"/>
  <c r="O681" i="1"/>
  <c r="O661" i="1"/>
  <c r="O653" i="1"/>
  <c r="O649" i="1"/>
  <c r="O641" i="1"/>
  <c r="O637" i="1"/>
  <c r="O629" i="1"/>
  <c r="O621" i="1"/>
  <c r="O617" i="1"/>
  <c r="O613" i="1"/>
  <c r="O609" i="1"/>
  <c r="O605" i="1"/>
  <c r="O601" i="1"/>
  <c r="O597" i="1"/>
  <c r="O593" i="1"/>
  <c r="O589" i="1"/>
  <c r="O585" i="1"/>
  <c r="O581" i="1"/>
  <c r="O577" i="1"/>
  <c r="O573" i="1"/>
  <c r="O569" i="1"/>
  <c r="O560" i="1"/>
  <c r="O552" i="1"/>
  <c r="O544" i="1"/>
  <c r="O524" i="1"/>
  <c r="O504" i="1"/>
  <c r="O500" i="1"/>
  <c r="O492" i="1"/>
  <c r="O484" i="1"/>
  <c r="O472" i="1"/>
  <c r="O468" i="1"/>
  <c r="O464" i="1"/>
  <c r="O460" i="1"/>
  <c r="O440" i="1"/>
  <c r="O436" i="1"/>
  <c r="O428" i="1"/>
  <c r="O424" i="1"/>
  <c r="O404" i="1"/>
  <c r="O400" i="1"/>
  <c r="O396" i="1"/>
  <c r="O392" i="1"/>
  <c r="O376" i="1"/>
  <c r="O372" i="1"/>
  <c r="O364" i="1"/>
  <c r="O344" i="1"/>
  <c r="O340" i="1"/>
  <c r="O336" i="1"/>
  <c r="O332" i="1"/>
  <c r="O312" i="1"/>
  <c r="O308" i="1"/>
  <c r="O300" i="1"/>
  <c r="O296" i="1"/>
  <c r="O276" i="1"/>
  <c r="O272" i="1"/>
  <c r="O252" i="1"/>
  <c r="O244" i="1"/>
  <c r="O228" i="1"/>
  <c r="O227" i="1"/>
  <c r="O226" i="1"/>
  <c r="O225" i="1"/>
  <c r="O223" i="1"/>
  <c r="O222" i="1"/>
  <c r="O221" i="1"/>
  <c r="O219" i="1"/>
  <c r="O218" i="1"/>
  <c r="O215" i="1"/>
  <c r="O214" i="1"/>
  <c r="O211" i="1"/>
  <c r="O210" i="1"/>
  <c r="O209" i="1"/>
  <c r="O207" i="1"/>
  <c r="O206" i="1"/>
  <c r="O203" i="1"/>
  <c r="O202" i="1"/>
  <c r="O199" i="1"/>
  <c r="O198" i="1"/>
  <c r="O197" i="1"/>
  <c r="O195" i="1"/>
  <c r="O194" i="1"/>
  <c r="O191" i="1"/>
  <c r="O190" i="1"/>
  <c r="O189" i="1"/>
  <c r="O187" i="1"/>
  <c r="O186" i="1"/>
  <c r="O183" i="1"/>
  <c r="O182" i="1"/>
  <c r="O181" i="1"/>
  <c r="O179" i="1"/>
  <c r="O178" i="1"/>
  <c r="O175" i="1"/>
  <c r="O174" i="1"/>
  <c r="O171" i="1"/>
  <c r="O170" i="1"/>
  <c r="O167" i="1"/>
  <c r="O166" i="1"/>
  <c r="O165" i="1"/>
  <c r="O163" i="1"/>
  <c r="O162" i="1"/>
  <c r="O159" i="1"/>
  <c r="O158" i="1"/>
  <c r="O157" i="1"/>
  <c r="O155" i="1"/>
  <c r="O154" i="1"/>
  <c r="O151" i="1"/>
  <c r="O150" i="1"/>
  <c r="O147" i="1"/>
  <c r="O146" i="1"/>
  <c r="O145" i="1"/>
  <c r="O143" i="1"/>
  <c r="O142" i="1"/>
  <c r="O139" i="1"/>
  <c r="O138" i="1"/>
  <c r="O135" i="1"/>
  <c r="O134" i="1"/>
  <c r="O133" i="1"/>
  <c r="O131" i="1"/>
  <c r="O130" i="1"/>
  <c r="O127" i="1"/>
  <c r="O126" i="1"/>
  <c r="O125" i="1"/>
  <c r="O123" i="1"/>
  <c r="O122" i="1"/>
  <c r="O119" i="1"/>
  <c r="O118" i="1"/>
  <c r="O117" i="1"/>
  <c r="O115" i="1"/>
  <c r="O114" i="1"/>
  <c r="O111" i="1"/>
  <c r="O110" i="1"/>
  <c r="O107" i="1"/>
  <c r="O106" i="1"/>
  <c r="O103" i="1"/>
  <c r="O102" i="1"/>
  <c r="O101" i="1"/>
  <c r="O99" i="1"/>
  <c r="O98" i="1"/>
  <c r="O97" i="1"/>
  <c r="O95" i="1"/>
  <c r="O94" i="1"/>
  <c r="O93" i="1"/>
  <c r="O91" i="1"/>
  <c r="O90" i="1"/>
  <c r="O87" i="1"/>
  <c r="O86" i="1"/>
  <c r="O85" i="1"/>
  <c r="O83" i="1"/>
  <c r="O82" i="1"/>
  <c r="O81" i="1"/>
  <c r="O79" i="1"/>
  <c r="O78" i="1"/>
  <c r="O75" i="1"/>
  <c r="O74" i="1"/>
  <c r="O71" i="1"/>
  <c r="O70" i="1"/>
  <c r="O69" i="1"/>
  <c r="O67" i="1"/>
  <c r="O66" i="1"/>
  <c r="O63" i="1"/>
  <c r="O62" i="1"/>
  <c r="O59" i="1"/>
  <c r="O58" i="1"/>
  <c r="O55" i="1"/>
  <c r="O54" i="1"/>
  <c r="O53" i="1"/>
  <c r="O51" i="1"/>
  <c r="O50" i="1"/>
  <c r="O47" i="1"/>
  <c r="O46" i="1"/>
  <c r="O43" i="1"/>
  <c r="O42" i="1"/>
  <c r="O39" i="1"/>
  <c r="O38" i="1"/>
  <c r="O37" i="1"/>
  <c r="O35" i="1"/>
  <c r="O34" i="1"/>
  <c r="O33" i="1"/>
  <c r="O31" i="1"/>
  <c r="O30" i="1"/>
  <c r="O29" i="1"/>
  <c r="O27" i="1"/>
  <c r="O26" i="1"/>
  <c r="O22" i="1"/>
  <c r="O17" i="1"/>
  <c r="AF16" i="1"/>
  <c r="AF15" i="1"/>
  <c r="O13" i="1"/>
  <c r="O12" i="1"/>
  <c r="O9" i="1"/>
  <c r="O8" i="1"/>
  <c r="O5" i="1"/>
  <c r="O4" i="1"/>
  <c r="O284" i="1"/>
  <c r="O49" i="1"/>
  <c r="O432" i="1"/>
  <c r="O141" i="1"/>
  <c r="O61" i="1"/>
  <c r="O769" i="1"/>
  <c r="O870" i="1"/>
  <c r="O697" i="1"/>
  <c r="O741" i="1"/>
  <c r="O65" i="1"/>
  <c r="O599" i="1"/>
  <c r="O420" i="1"/>
  <c r="O590" i="1"/>
  <c r="O129" i="1"/>
  <c r="O185" i="1"/>
  <c r="O456" i="1"/>
  <c r="O540" i="1"/>
  <c r="O588" i="1"/>
  <c r="O657" i="1"/>
  <c r="O121" i="1"/>
  <c r="O25" i="1"/>
  <c r="O109" i="1"/>
  <c r="O177" i="1"/>
  <c r="O324" i="1"/>
  <c r="O604" i="1"/>
  <c r="O733" i="1"/>
  <c r="O571" i="1"/>
  <c r="O596" i="1"/>
  <c r="O45" i="1"/>
  <c r="O260" i="1"/>
  <c r="O356" i="1"/>
  <c r="O384" i="1"/>
  <c r="O512" i="1"/>
  <c r="O137" i="1"/>
  <c r="O548" i="1"/>
  <c r="O611" i="1"/>
  <c r="O625" i="1"/>
  <c r="O878" i="1"/>
  <c r="O73" i="1"/>
  <c r="O113" i="1"/>
  <c r="O173" i="1"/>
  <c r="O193" i="1"/>
  <c r="O201" i="1"/>
  <c r="O248" i="1"/>
  <c r="O328" i="1"/>
  <c r="O352" i="1"/>
  <c r="O408" i="1"/>
  <c r="O488" i="1"/>
  <c r="O586" i="1"/>
  <c r="O608" i="1"/>
  <c r="O685" i="1"/>
  <c r="O717" i="1"/>
  <c r="O773" i="1"/>
  <c r="O801" i="1"/>
  <c r="O149" i="1"/>
  <c r="O480" i="1"/>
  <c r="O583" i="1"/>
  <c r="O846" i="1"/>
  <c r="O240" i="1"/>
  <c r="O280" i="1"/>
  <c r="O57" i="1"/>
  <c r="O77" i="1"/>
  <c r="O205" i="1"/>
  <c r="O213" i="1"/>
  <c r="O256" i="1"/>
  <c r="O292" i="1"/>
  <c r="O304" i="1"/>
  <c r="O360" i="1"/>
  <c r="O388" i="1"/>
  <c r="O452" i="1"/>
  <c r="O516" i="1"/>
  <c r="O594" i="1"/>
  <c r="O645" i="1"/>
  <c r="O693" i="1"/>
  <c r="O753" i="1"/>
  <c r="O809" i="1"/>
  <c r="O380" i="1"/>
  <c r="O412" i="1"/>
  <c r="O508" i="1"/>
  <c r="O536" i="1"/>
  <c r="O592" i="1"/>
  <c r="O606" i="1"/>
  <c r="O618" i="1"/>
  <c r="O665" i="1"/>
  <c r="O737" i="1"/>
  <c r="O765" i="1"/>
  <c r="O777" i="1"/>
  <c r="O886" i="1"/>
  <c r="O236" i="1"/>
  <c r="O268" i="1"/>
  <c r="O320" i="1"/>
  <c r="O348" i="1"/>
  <c r="O448" i="1"/>
  <c r="O520" i="1"/>
  <c r="O564" i="1"/>
  <c r="O567" i="1"/>
  <c r="O570" i="1"/>
  <c r="O595" i="1"/>
  <c r="O633" i="1"/>
  <c r="O669" i="1"/>
  <c r="O677" i="1"/>
  <c r="O705" i="1"/>
  <c r="O713" i="1"/>
  <c r="O785" i="1"/>
  <c r="O813" i="1"/>
  <c r="O821" i="1"/>
  <c r="O838" i="1"/>
  <c r="O910" i="1"/>
  <c r="O89" i="1"/>
  <c r="O153" i="1"/>
  <c r="O161" i="1"/>
  <c r="O217" i="1"/>
  <c r="O232" i="1"/>
  <c r="O264" i="1"/>
  <c r="O288" i="1"/>
  <c r="O316" i="1"/>
  <c r="O368" i="1"/>
  <c r="O416" i="1"/>
  <c r="O444" i="1"/>
  <c r="O496" i="1"/>
  <c r="O532" i="1"/>
  <c r="O576" i="1"/>
  <c r="O579" i="1"/>
  <c r="O615" i="1"/>
  <c r="O902" i="1"/>
  <c r="O556" i="1"/>
  <c r="O572" i="1"/>
  <c r="K1002" i="1"/>
  <c r="O41" i="1"/>
  <c r="O105" i="1"/>
  <c r="O169" i="1"/>
  <c r="O476" i="1"/>
  <c r="O528" i="1"/>
  <c r="O574" i="1"/>
  <c r="O602" i="1"/>
  <c r="O862" i="1"/>
  <c r="O673" i="1"/>
  <c r="O701" i="1"/>
  <c r="O709" i="1"/>
  <c r="O745" i="1"/>
  <c r="O781" i="1"/>
  <c r="O789" i="1"/>
  <c r="O817" i="1"/>
  <c r="O854" i="1"/>
  <c r="O894" i="1"/>
  <c r="O238" i="1"/>
  <c r="O247" i="1"/>
  <c r="O270" i="1"/>
  <c r="O286" i="1"/>
  <c r="O382" i="1"/>
  <c r="O446" i="1"/>
  <c r="O478" i="1"/>
  <c r="O510" i="1"/>
  <c r="O542" i="1"/>
  <c r="O632" i="1"/>
  <c r="O861" i="1"/>
  <c r="O3" i="1"/>
  <c r="O20" i="1"/>
  <c r="O230" i="1"/>
  <c r="O243" i="1"/>
  <c r="O262" i="1"/>
  <c r="O275" i="1"/>
  <c r="O358" i="1"/>
  <c r="O390" i="1"/>
  <c r="O422" i="1"/>
  <c r="O486" i="1"/>
  <c r="O696" i="1"/>
  <c r="O808" i="1"/>
  <c r="O837" i="1"/>
  <c r="O869" i="1"/>
  <c r="O901" i="1"/>
  <c r="O7" i="1"/>
  <c r="O10" i="1"/>
  <c r="O16" i="1"/>
  <c r="O21" i="1"/>
  <c r="O231" i="1"/>
  <c r="O250" i="1"/>
  <c r="O254" i="1"/>
  <c r="O263" i="1"/>
  <c r="O302" i="1"/>
  <c r="O334" i="1"/>
  <c r="O366" i="1"/>
  <c r="O398" i="1"/>
  <c r="O430" i="1"/>
  <c r="O462" i="1"/>
  <c r="O494" i="1"/>
  <c r="O526" i="1"/>
  <c r="O558" i="1"/>
  <c r="O728" i="1"/>
  <c r="O760" i="1"/>
  <c r="O845" i="1"/>
  <c r="O877" i="1"/>
  <c r="O909" i="1"/>
  <c r="O2" i="1"/>
  <c r="O15" i="1"/>
  <c r="O234" i="1"/>
  <c r="O266" i="1"/>
  <c r="O318" i="1"/>
  <c r="O350" i="1"/>
  <c r="O414" i="1"/>
  <c r="O744" i="1"/>
  <c r="O893" i="1"/>
  <c r="O938" i="1"/>
  <c r="O6" i="1"/>
  <c r="O239" i="1"/>
  <c r="O271" i="1"/>
  <c r="O294" i="1"/>
  <c r="O326" i="1"/>
  <c r="O454" i="1"/>
  <c r="O518" i="1"/>
  <c r="O550" i="1"/>
  <c r="O664" i="1"/>
  <c r="O11" i="1"/>
  <c r="O14" i="1"/>
  <c r="O246" i="1"/>
  <c r="O255" i="1"/>
  <c r="O259" i="1"/>
  <c r="O278" i="1"/>
  <c r="O310" i="1"/>
  <c r="O342" i="1"/>
  <c r="O374" i="1"/>
  <c r="O406" i="1"/>
  <c r="O438" i="1"/>
  <c r="O470" i="1"/>
  <c r="O502" i="1"/>
  <c r="O534" i="1"/>
  <c r="O566" i="1"/>
  <c r="O680" i="1"/>
  <c r="O792" i="1"/>
  <c r="O824" i="1"/>
  <c r="O853" i="1"/>
  <c r="O885" i="1"/>
  <c r="O917" i="1"/>
  <c r="O242" i="1"/>
  <c r="O282" i="1"/>
  <c r="O290" i="1"/>
  <c r="O314" i="1"/>
  <c r="O322" i="1"/>
  <c r="O346" i="1"/>
  <c r="O362" i="1"/>
  <c r="O402" i="1"/>
  <c r="O418" i="1"/>
  <c r="O426" i="1"/>
  <c r="O442" i="1"/>
  <c r="O458" i="1"/>
  <c r="O466" i="1"/>
  <c r="O506" i="1"/>
  <c r="O522" i="1"/>
  <c r="O538" i="1"/>
  <c r="O554" i="1"/>
  <c r="O562" i="1"/>
  <c r="O584" i="1"/>
  <c r="O619" i="1"/>
  <c r="O623" i="1"/>
  <c r="O732" i="1"/>
  <c r="O747" i="1"/>
  <c r="O751" i="1"/>
  <c r="O811" i="1"/>
  <c r="O815" i="1"/>
  <c r="O919" i="1"/>
  <c r="O924" i="1"/>
  <c r="O936" i="1"/>
  <c r="O942" i="1"/>
  <c r="O947" i="1"/>
  <c r="O970" i="1"/>
  <c r="O975" i="1"/>
  <c r="O978" i="1"/>
  <c r="O983" i="1"/>
  <c r="O988" i="1"/>
  <c r="O1000" i="1"/>
  <c r="O235" i="1"/>
  <c r="O251" i="1"/>
  <c r="O267" i="1"/>
  <c r="O279" i="1"/>
  <c r="O319" i="1"/>
  <c r="O327" i="1"/>
  <c r="O351" i="1"/>
  <c r="O359" i="1"/>
  <c r="O367" i="1"/>
  <c r="O375" i="1"/>
  <c r="O423" i="1"/>
  <c r="O431" i="1"/>
  <c r="O455" i="1"/>
  <c r="O471" i="1"/>
  <c r="O479" i="1"/>
  <c r="O495" i="1"/>
  <c r="O503" i="1"/>
  <c r="O511" i="1"/>
  <c r="O568" i="1"/>
  <c r="O578" i="1"/>
  <c r="O580" i="1"/>
  <c r="O582" i="1"/>
  <c r="O635" i="1"/>
  <c r="O660" i="1"/>
  <c r="O684" i="1"/>
  <c r="O703" i="1"/>
  <c r="O724" i="1"/>
  <c r="O748" i="1"/>
  <c r="O763" i="1"/>
  <c r="O767" i="1"/>
  <c r="O833" i="1"/>
  <c r="O843" i="1"/>
  <c r="O851" i="1"/>
  <c r="O857" i="1"/>
  <c r="O865" i="1"/>
  <c r="O873" i="1"/>
  <c r="O883" i="1"/>
  <c r="O889" i="1"/>
  <c r="O897" i="1"/>
  <c r="O905" i="1"/>
  <c r="O907" i="1"/>
  <c r="O913" i="1"/>
  <c r="O915" i="1"/>
  <c r="O932" i="1"/>
  <c r="O973" i="1"/>
  <c r="O976" i="1"/>
  <c r="O981" i="1"/>
  <c r="O996" i="1"/>
  <c r="O18" i="1"/>
  <c r="O591" i="1"/>
  <c r="O603" i="1"/>
  <c r="O616" i="1"/>
  <c r="O636" i="1"/>
  <c r="O651" i="1"/>
  <c r="O655" i="1"/>
  <c r="O676" i="1"/>
  <c r="O700" i="1"/>
  <c r="O715" i="1"/>
  <c r="O719" i="1"/>
  <c r="O740" i="1"/>
  <c r="O764" i="1"/>
  <c r="O779" i="1"/>
  <c r="O783" i="1"/>
  <c r="O804" i="1"/>
  <c r="O828" i="1"/>
  <c r="O971" i="1"/>
  <c r="AF17" i="1"/>
  <c r="AG17" i="1"/>
  <c r="O19" i="1"/>
  <c r="O23" i="1"/>
  <c r="O258" i="1"/>
  <c r="O274" i="1"/>
  <c r="O298" i="1"/>
  <c r="O306" i="1"/>
  <c r="O330" i="1"/>
  <c r="O338" i="1"/>
  <c r="O354" i="1"/>
  <c r="O370" i="1"/>
  <c r="O378" i="1"/>
  <c r="O386" i="1"/>
  <c r="O394" i="1"/>
  <c r="O410" i="1"/>
  <c r="O434" i="1"/>
  <c r="O450" i="1"/>
  <c r="O474" i="1"/>
  <c r="O482" i="1"/>
  <c r="O490" i="1"/>
  <c r="O498" i="1"/>
  <c r="O514" i="1"/>
  <c r="O530" i="1"/>
  <c r="O546" i="1"/>
  <c r="O598" i="1"/>
  <c r="O644" i="1"/>
  <c r="O648" i="1"/>
  <c r="O668" i="1"/>
  <c r="O683" i="1"/>
  <c r="O687" i="1"/>
  <c r="O708" i="1"/>
  <c r="O712" i="1"/>
  <c r="O772" i="1"/>
  <c r="O776" i="1"/>
  <c r="O796" i="1"/>
  <c r="O287" i="1"/>
  <c r="O295" i="1"/>
  <c r="O303" i="1"/>
  <c r="O311" i="1"/>
  <c r="O335" i="1"/>
  <c r="O343" i="1"/>
  <c r="O383" i="1"/>
  <c r="O391" i="1"/>
  <c r="O399" i="1"/>
  <c r="O407" i="1"/>
  <c r="O415" i="1"/>
  <c r="O439" i="1"/>
  <c r="O447" i="1"/>
  <c r="O463" i="1"/>
  <c r="O487" i="1"/>
  <c r="O519" i="1"/>
  <c r="O527" i="1"/>
  <c r="O535" i="1"/>
  <c r="O543" i="1"/>
  <c r="O551" i="1"/>
  <c r="O559" i="1"/>
  <c r="O607" i="1"/>
  <c r="O620" i="1"/>
  <c r="O639" i="1"/>
  <c r="O699" i="1"/>
  <c r="O788" i="1"/>
  <c r="O812" i="1"/>
  <c r="O827" i="1"/>
  <c r="O831" i="1"/>
  <c r="O835" i="1"/>
  <c r="O841" i="1"/>
  <c r="O849" i="1"/>
  <c r="O859" i="1"/>
  <c r="O867" i="1"/>
  <c r="O875" i="1"/>
  <c r="O881" i="1"/>
  <c r="O891" i="1"/>
  <c r="O899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419" i="1"/>
  <c r="O427" i="1"/>
  <c r="O435" i="1"/>
  <c r="O443" i="1"/>
  <c r="O451" i="1"/>
  <c r="O459" i="1"/>
  <c r="O467" i="1"/>
  <c r="O475" i="1"/>
  <c r="O483" i="1"/>
  <c r="O491" i="1"/>
  <c r="O499" i="1"/>
  <c r="O507" i="1"/>
  <c r="O515" i="1"/>
  <c r="O523" i="1"/>
  <c r="O531" i="1"/>
  <c r="O539" i="1"/>
  <c r="O547" i="1"/>
  <c r="O555" i="1"/>
  <c r="O563" i="1"/>
  <c r="O575" i="1"/>
  <c r="O587" i="1"/>
  <c r="O600" i="1"/>
  <c r="O610" i="1"/>
  <c r="O612" i="1"/>
  <c r="O614" i="1"/>
  <c r="O628" i="1"/>
  <c r="O652" i="1"/>
  <c r="O667" i="1"/>
  <c r="O671" i="1"/>
  <c r="O692" i="1"/>
  <c r="O716" i="1"/>
  <c r="O731" i="1"/>
  <c r="O735" i="1"/>
  <c r="O756" i="1"/>
  <c r="O780" i="1"/>
  <c r="O795" i="1"/>
  <c r="O799" i="1"/>
  <c r="O820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49" i="1"/>
  <c r="O353" i="1"/>
  <c r="O357" i="1"/>
  <c r="O361" i="1"/>
  <c r="O365" i="1"/>
  <c r="O369" i="1"/>
  <c r="O373" i="1"/>
  <c r="O377" i="1"/>
  <c r="O381" i="1"/>
  <c r="O385" i="1"/>
  <c r="O389" i="1"/>
  <c r="O393" i="1"/>
  <c r="O397" i="1"/>
  <c r="O401" i="1"/>
  <c r="O405" i="1"/>
  <c r="O409" i="1"/>
  <c r="O413" i="1"/>
  <c r="O417" i="1"/>
  <c r="O421" i="1"/>
  <c r="O425" i="1"/>
  <c r="O429" i="1"/>
  <c r="O433" i="1"/>
  <c r="O437" i="1"/>
  <c r="O441" i="1"/>
  <c r="O445" i="1"/>
  <c r="O449" i="1"/>
  <c r="O453" i="1"/>
  <c r="O457" i="1"/>
  <c r="O461" i="1"/>
  <c r="O465" i="1"/>
  <c r="O469" i="1"/>
  <c r="O473" i="1"/>
  <c r="O477" i="1"/>
  <c r="O481" i="1"/>
  <c r="O485" i="1"/>
  <c r="O489" i="1"/>
  <c r="O493" i="1"/>
  <c r="O497" i="1"/>
  <c r="O501" i="1"/>
  <c r="O505" i="1"/>
  <c r="O509" i="1"/>
  <c r="O513" i="1"/>
  <c r="O517" i="1"/>
  <c r="O521" i="1"/>
  <c r="O525" i="1"/>
  <c r="O529" i="1"/>
  <c r="O533" i="1"/>
  <c r="O537" i="1"/>
  <c r="O541" i="1"/>
  <c r="O545" i="1"/>
  <c r="O549" i="1"/>
  <c r="O553" i="1"/>
  <c r="O557" i="1"/>
  <c r="O561" i="1"/>
  <c r="O565" i="1"/>
  <c r="O627" i="1"/>
  <c r="O643" i="1"/>
  <c r="O659" i="1"/>
  <c r="O675" i="1"/>
  <c r="O691" i="1"/>
  <c r="O707" i="1"/>
  <c r="O723" i="1"/>
  <c r="O739" i="1"/>
  <c r="O755" i="1"/>
  <c r="O771" i="1"/>
  <c r="O787" i="1"/>
  <c r="O803" i="1"/>
  <c r="O819" i="1"/>
  <c r="O943" i="1"/>
  <c r="O946" i="1"/>
  <c r="O951" i="1"/>
  <c r="O956" i="1"/>
  <c r="O968" i="1"/>
  <c r="O974" i="1"/>
  <c r="O979" i="1"/>
  <c r="O624" i="1"/>
  <c r="O631" i="1"/>
  <c r="O640" i="1"/>
  <c r="O647" i="1"/>
  <c r="O656" i="1"/>
  <c r="O663" i="1"/>
  <c r="O672" i="1"/>
  <c r="O679" i="1"/>
  <c r="O688" i="1"/>
  <c r="O695" i="1"/>
  <c r="O704" i="1"/>
  <c r="O711" i="1"/>
  <c r="O720" i="1"/>
  <c r="O727" i="1"/>
  <c r="O736" i="1"/>
  <c r="O743" i="1"/>
  <c r="O752" i="1"/>
  <c r="O759" i="1"/>
  <c r="O768" i="1"/>
  <c r="O775" i="1"/>
  <c r="O784" i="1"/>
  <c r="O791" i="1"/>
  <c r="O800" i="1"/>
  <c r="O807" i="1"/>
  <c r="O816" i="1"/>
  <c r="O823" i="1"/>
  <c r="O832" i="1"/>
  <c r="O840" i="1"/>
  <c r="O848" i="1"/>
  <c r="O856" i="1"/>
  <c r="O864" i="1"/>
  <c r="O872" i="1"/>
  <c r="O880" i="1"/>
  <c r="O888" i="1"/>
  <c r="O896" i="1"/>
  <c r="O904" i="1"/>
  <c r="O912" i="1"/>
  <c r="O939" i="1"/>
  <c r="O941" i="1"/>
  <c r="O944" i="1"/>
  <c r="O949" i="1"/>
  <c r="O964" i="1"/>
  <c r="O923" i="1"/>
  <c r="O920" i="1"/>
  <c r="O925" i="1"/>
  <c r="O927" i="1"/>
  <c r="O940" i="1"/>
  <c r="O952" i="1"/>
  <c r="O955" i="1"/>
  <c r="O957" i="1"/>
  <c r="O959" i="1"/>
  <c r="O972" i="1"/>
  <c r="O984" i="1"/>
  <c r="O987" i="1"/>
  <c r="O989" i="1"/>
  <c r="O991" i="1"/>
  <c r="O622" i="1"/>
  <c r="O626" i="1"/>
  <c r="O630" i="1"/>
  <c r="O634" i="1"/>
  <c r="O638" i="1"/>
  <c r="O642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758" i="1"/>
  <c r="O762" i="1"/>
  <c r="O766" i="1"/>
  <c r="O770" i="1"/>
  <c r="O774" i="1"/>
  <c r="O778" i="1"/>
  <c r="O782" i="1"/>
  <c r="O786" i="1"/>
  <c r="O790" i="1"/>
  <c r="O794" i="1"/>
  <c r="O798" i="1"/>
  <c r="O802" i="1"/>
  <c r="O806" i="1"/>
  <c r="O810" i="1"/>
  <c r="O814" i="1"/>
  <c r="O818" i="1"/>
  <c r="O822" i="1"/>
  <c r="O826" i="1"/>
  <c r="O830" i="1"/>
  <c r="O834" i="1"/>
  <c r="O836" i="1"/>
  <c r="O839" i="1"/>
  <c r="O842" i="1"/>
  <c r="O844" i="1"/>
  <c r="O847" i="1"/>
  <c r="O850" i="1"/>
  <c r="O852" i="1"/>
  <c r="O855" i="1"/>
  <c r="O858" i="1"/>
  <c r="O860" i="1"/>
  <c r="O863" i="1"/>
  <c r="O866" i="1"/>
  <c r="O868" i="1"/>
  <c r="O871" i="1"/>
  <c r="O874" i="1"/>
  <c r="O876" i="1"/>
  <c r="O879" i="1"/>
  <c r="O882" i="1"/>
  <c r="O884" i="1"/>
  <c r="O887" i="1"/>
  <c r="O890" i="1"/>
  <c r="O892" i="1"/>
  <c r="O895" i="1"/>
  <c r="O898" i="1"/>
  <c r="O900" i="1"/>
  <c r="O903" i="1"/>
  <c r="O906" i="1"/>
  <c r="O908" i="1"/>
  <c r="O911" i="1"/>
  <c r="O914" i="1"/>
  <c r="O916" i="1"/>
  <c r="O928" i="1"/>
  <c r="O931" i="1"/>
  <c r="O933" i="1"/>
  <c r="O935" i="1"/>
  <c r="O948" i="1"/>
  <c r="O960" i="1"/>
  <c r="O963" i="1"/>
  <c r="O965" i="1"/>
  <c r="O967" i="1"/>
  <c r="O980" i="1"/>
  <c r="O992" i="1"/>
  <c r="O995" i="1"/>
  <c r="O997" i="1"/>
  <c r="O999" i="1"/>
  <c r="O921" i="1"/>
  <c r="O929" i="1"/>
  <c r="O937" i="1"/>
  <c r="O945" i="1"/>
  <c r="O953" i="1"/>
  <c r="O961" i="1"/>
  <c r="O969" i="1"/>
  <c r="O977" i="1"/>
  <c r="O985" i="1"/>
  <c r="O993" i="1"/>
  <c r="O1001" i="1"/>
  <c r="O24" i="1"/>
  <c r="B21" i="3"/>
  <c r="C21" i="3"/>
  <c r="B32" i="3"/>
  <c r="B23" i="3"/>
  <c r="C23" i="3"/>
  <c r="B24" i="3"/>
  <c r="C24" i="3"/>
  <c r="B26" i="3"/>
  <c r="C26" i="3"/>
  <c r="B25" i="3"/>
  <c r="C25" i="3"/>
  <c r="B22" i="3"/>
  <c r="C22" i="3"/>
  <c r="B31" i="3"/>
  <c r="B29" i="3"/>
  <c r="B30" i="3"/>
  <c r="D10" i="3"/>
  <c r="B5" i="3"/>
  <c r="D9" i="3"/>
  <c r="AG16" i="1"/>
  <c r="AG15" i="1"/>
  <c r="B4" i="3"/>
  <c r="B6" i="3"/>
  <c r="C6" i="3"/>
  <c r="C5" i="3"/>
  <c r="C4" i="3"/>
</calcChain>
</file>

<file path=xl/sharedStrings.xml><?xml version="1.0" encoding="utf-8"?>
<sst xmlns="http://schemas.openxmlformats.org/spreadsheetml/2006/main" count="11100" uniqueCount="1076">
  <si>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</si>
  <si>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</si>
  <si>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</si>
  <si>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</si>
  <si>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</si>
  <si>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</si>
  <si>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</si>
  <si>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</si>
  <si>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</si>
  <si>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</si>
  <si>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</si>
  <si>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</si>
  <si>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</si>
  <si>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</si>
  <si>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</si>
  <si>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</si>
  <si>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</si>
  <si>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</si>
  <si>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</si>
  <si>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</si>
  <si>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</si>
  <si>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</si>
  <si>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</si>
  <si>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</si>
  <si>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</si>
  <si>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student id</t>
  </si>
  <si>
    <t>grade</t>
  </si>
  <si>
    <t>average score</t>
  </si>
  <si>
    <t>total score</t>
  </si>
  <si>
    <t>pass/fail</t>
  </si>
  <si>
    <t>performance level</t>
  </si>
  <si>
    <t>A</t>
  </si>
  <si>
    <t>B</t>
  </si>
  <si>
    <t>C</t>
  </si>
  <si>
    <t>D</t>
  </si>
  <si>
    <t>F</t>
  </si>
  <si>
    <t>S.ID- 00001</t>
  </si>
  <si>
    <t>S.ID- 00002</t>
  </si>
  <si>
    <t>S.ID- 00003</t>
  </si>
  <si>
    <t>S.ID- 00004</t>
  </si>
  <si>
    <t>S.ID- 00005</t>
  </si>
  <si>
    <t>S.ID- 00006</t>
  </si>
  <si>
    <t>S.ID- 00007</t>
  </si>
  <si>
    <t>S.ID- 00008</t>
  </si>
  <si>
    <t>S.ID- 00009</t>
  </si>
  <si>
    <t>S.ID- 00010</t>
  </si>
  <si>
    <t>S.ID- 00011</t>
  </si>
  <si>
    <t>S.ID- 00012</t>
  </si>
  <si>
    <t>S.ID- 00013</t>
  </si>
  <si>
    <t>S.ID- 00014</t>
  </si>
  <si>
    <t>S.ID- 00015</t>
  </si>
  <si>
    <t>S.ID- 00016</t>
  </si>
  <si>
    <t>S.ID- 00017</t>
  </si>
  <si>
    <t>S.ID- 00018</t>
  </si>
  <si>
    <t>S.ID- 00019</t>
  </si>
  <si>
    <t>S.ID- 00020</t>
  </si>
  <si>
    <t>S.ID- 00021</t>
  </si>
  <si>
    <t>S.ID- 00022</t>
  </si>
  <si>
    <t>S.ID- 00023</t>
  </si>
  <si>
    <t>S.ID- 00024</t>
  </si>
  <si>
    <t>S.ID- 00025</t>
  </si>
  <si>
    <t>S.ID- 00026</t>
  </si>
  <si>
    <t>S.ID- 00027</t>
  </si>
  <si>
    <t>S.ID- 00028</t>
  </si>
  <si>
    <t>S.ID- 00029</t>
  </si>
  <si>
    <t>S.ID- 00030</t>
  </si>
  <si>
    <t>S.ID- 00031</t>
  </si>
  <si>
    <t>S.ID- 00032</t>
  </si>
  <si>
    <t>S.ID- 00033</t>
  </si>
  <si>
    <t>S.ID- 00034</t>
  </si>
  <si>
    <t>S.ID- 00035</t>
  </si>
  <si>
    <t>S.ID- 00036</t>
  </si>
  <si>
    <t>S.ID- 00037</t>
  </si>
  <si>
    <t>S.ID- 00038</t>
  </si>
  <si>
    <t>S.ID- 00039</t>
  </si>
  <si>
    <t>S.ID- 00040</t>
  </si>
  <si>
    <t>S.ID- 00041</t>
  </si>
  <si>
    <t>S.ID- 00042</t>
  </si>
  <si>
    <t>S.ID- 00043</t>
  </si>
  <si>
    <t>S.ID- 00044</t>
  </si>
  <si>
    <t>S.ID- 00045</t>
  </si>
  <si>
    <t>S.ID- 00046</t>
  </si>
  <si>
    <t>S.ID- 00047</t>
  </si>
  <si>
    <t>S.ID- 00048</t>
  </si>
  <si>
    <t>S.ID- 00049</t>
  </si>
  <si>
    <t>S.ID- 00050</t>
  </si>
  <si>
    <t>S.ID- 00051</t>
  </si>
  <si>
    <t>S.ID- 00052</t>
  </si>
  <si>
    <t>S.ID- 00053</t>
  </si>
  <si>
    <t>S.ID- 00054</t>
  </si>
  <si>
    <t>S.ID- 00055</t>
  </si>
  <si>
    <t>S.ID- 00056</t>
  </si>
  <si>
    <t>S.ID- 00057</t>
  </si>
  <si>
    <t>S.ID- 00058</t>
  </si>
  <si>
    <t>S.ID- 00059</t>
  </si>
  <si>
    <t>S.ID- 00060</t>
  </si>
  <si>
    <t>S.ID- 00061</t>
  </si>
  <si>
    <t>S.ID- 00062</t>
  </si>
  <si>
    <t>S.ID- 00063</t>
  </si>
  <si>
    <t>S.ID- 00064</t>
  </si>
  <si>
    <t>S.ID- 00065</t>
  </si>
  <si>
    <t>S.ID- 00066</t>
  </si>
  <si>
    <t>S.ID- 00067</t>
  </si>
  <si>
    <t>S.ID- 00068</t>
  </si>
  <si>
    <t>S.ID- 00069</t>
  </si>
  <si>
    <t>S.ID- 00070</t>
  </si>
  <si>
    <t>S.ID- 00071</t>
  </si>
  <si>
    <t>S.ID- 00072</t>
  </si>
  <si>
    <t>S.ID- 00073</t>
  </si>
  <si>
    <t>S.ID- 00074</t>
  </si>
  <si>
    <t>S.ID- 00075</t>
  </si>
  <si>
    <t>S.ID- 00076</t>
  </si>
  <si>
    <t>S.ID- 00077</t>
  </si>
  <si>
    <t>S.ID- 00078</t>
  </si>
  <si>
    <t>S.ID- 00079</t>
  </si>
  <si>
    <t>S.ID- 00080</t>
  </si>
  <si>
    <t>S.ID- 00081</t>
  </si>
  <si>
    <t>S.ID- 00082</t>
  </si>
  <si>
    <t>S.ID- 00083</t>
  </si>
  <si>
    <t>S.ID- 00084</t>
  </si>
  <si>
    <t>S.ID- 00085</t>
  </si>
  <si>
    <t>S.ID- 00086</t>
  </si>
  <si>
    <t>S.ID- 00087</t>
  </si>
  <si>
    <t>S.ID- 00088</t>
  </si>
  <si>
    <t>S.ID- 00089</t>
  </si>
  <si>
    <t>S.ID- 00090</t>
  </si>
  <si>
    <t>S.ID- 00091</t>
  </si>
  <si>
    <t>S.ID- 00092</t>
  </si>
  <si>
    <t>S.ID- 00093</t>
  </si>
  <si>
    <t>S.ID- 00094</t>
  </si>
  <si>
    <t>S.ID- 00095</t>
  </si>
  <si>
    <t>S.ID- 00096</t>
  </si>
  <si>
    <t>S.ID- 00097</t>
  </si>
  <si>
    <t>S.ID- 00098</t>
  </si>
  <si>
    <t>S.ID- 00099</t>
  </si>
  <si>
    <t>S.ID- 00100</t>
  </si>
  <si>
    <t>S.ID- 00101</t>
  </si>
  <si>
    <t>S.ID- 00102</t>
  </si>
  <si>
    <t>S.ID- 00103</t>
  </si>
  <si>
    <t>S.ID- 00104</t>
  </si>
  <si>
    <t>S.ID- 00105</t>
  </si>
  <si>
    <t>S.ID- 00106</t>
  </si>
  <si>
    <t>S.ID- 00107</t>
  </si>
  <si>
    <t>S.ID- 00108</t>
  </si>
  <si>
    <t>S.ID- 00109</t>
  </si>
  <si>
    <t>S.ID- 00110</t>
  </si>
  <si>
    <t>S.ID- 00111</t>
  </si>
  <si>
    <t>S.ID- 00112</t>
  </si>
  <si>
    <t>S.ID- 00113</t>
  </si>
  <si>
    <t>S.ID- 00114</t>
  </si>
  <si>
    <t>S.ID- 00115</t>
  </si>
  <si>
    <t>S.ID- 00116</t>
  </si>
  <si>
    <t>S.ID- 00117</t>
  </si>
  <si>
    <t>S.ID- 00118</t>
  </si>
  <si>
    <t>S.ID- 00119</t>
  </si>
  <si>
    <t>S.ID- 00120</t>
  </si>
  <si>
    <t>S.ID- 00121</t>
  </si>
  <si>
    <t>S.ID- 00122</t>
  </si>
  <si>
    <t>S.ID- 00123</t>
  </si>
  <si>
    <t>S.ID- 00124</t>
  </si>
  <si>
    <t>S.ID- 00125</t>
  </si>
  <si>
    <t>S.ID- 00126</t>
  </si>
  <si>
    <t>S.ID- 00127</t>
  </si>
  <si>
    <t>S.ID- 00128</t>
  </si>
  <si>
    <t>S.ID- 00129</t>
  </si>
  <si>
    <t>S.ID- 00130</t>
  </si>
  <si>
    <t>S.ID- 00131</t>
  </si>
  <si>
    <t>S.ID- 00132</t>
  </si>
  <si>
    <t>S.ID- 00133</t>
  </si>
  <si>
    <t>S.ID- 00134</t>
  </si>
  <si>
    <t>S.ID- 00135</t>
  </si>
  <si>
    <t>S.ID- 00136</t>
  </si>
  <si>
    <t>S.ID- 00137</t>
  </si>
  <si>
    <t>S.ID- 00138</t>
  </si>
  <si>
    <t>S.ID- 00139</t>
  </si>
  <si>
    <t>S.ID- 00140</t>
  </si>
  <si>
    <t>S.ID- 00141</t>
  </si>
  <si>
    <t>S.ID- 00142</t>
  </si>
  <si>
    <t>S.ID- 00143</t>
  </si>
  <si>
    <t>S.ID- 00144</t>
  </si>
  <si>
    <t>S.ID- 00145</t>
  </si>
  <si>
    <t>S.ID- 00146</t>
  </si>
  <si>
    <t>S.ID- 00147</t>
  </si>
  <si>
    <t>S.ID- 00148</t>
  </si>
  <si>
    <t>S.ID- 00149</t>
  </si>
  <si>
    <t>S.ID- 00150</t>
  </si>
  <si>
    <t>S.ID- 00151</t>
  </si>
  <si>
    <t>S.ID- 00152</t>
  </si>
  <si>
    <t>S.ID- 00153</t>
  </si>
  <si>
    <t>S.ID- 00154</t>
  </si>
  <si>
    <t>S.ID- 00155</t>
  </si>
  <si>
    <t>S.ID- 00156</t>
  </si>
  <si>
    <t>S.ID- 00157</t>
  </si>
  <si>
    <t>S.ID- 00158</t>
  </si>
  <si>
    <t>S.ID- 00159</t>
  </si>
  <si>
    <t>S.ID- 00160</t>
  </si>
  <si>
    <t>S.ID- 00161</t>
  </si>
  <si>
    <t>S.ID- 00162</t>
  </si>
  <si>
    <t>S.ID- 00163</t>
  </si>
  <si>
    <t>S.ID- 00164</t>
  </si>
  <si>
    <t>S.ID- 00165</t>
  </si>
  <si>
    <t>S.ID- 00166</t>
  </si>
  <si>
    <t>S.ID- 00167</t>
  </si>
  <si>
    <t>S.ID- 00168</t>
  </si>
  <si>
    <t>S.ID- 00169</t>
  </si>
  <si>
    <t>S.ID- 00170</t>
  </si>
  <si>
    <t>S.ID- 00171</t>
  </si>
  <si>
    <t>S.ID- 00172</t>
  </si>
  <si>
    <t>S.ID- 00173</t>
  </si>
  <si>
    <t>S.ID- 00174</t>
  </si>
  <si>
    <t>S.ID- 00175</t>
  </si>
  <si>
    <t>S.ID- 00176</t>
  </si>
  <si>
    <t>S.ID- 00177</t>
  </si>
  <si>
    <t>S.ID- 00178</t>
  </si>
  <si>
    <t>S.ID- 00179</t>
  </si>
  <si>
    <t>S.ID- 00180</t>
  </si>
  <si>
    <t>S.ID- 00181</t>
  </si>
  <si>
    <t>S.ID- 00182</t>
  </si>
  <si>
    <t>S.ID- 00183</t>
  </si>
  <si>
    <t>S.ID- 00184</t>
  </si>
  <si>
    <t>S.ID- 00185</t>
  </si>
  <si>
    <t>S.ID- 00186</t>
  </si>
  <si>
    <t>S.ID- 00187</t>
  </si>
  <si>
    <t>S.ID- 00188</t>
  </si>
  <si>
    <t>S.ID- 00189</t>
  </si>
  <si>
    <t>S.ID- 00190</t>
  </si>
  <si>
    <t>S.ID- 00191</t>
  </si>
  <si>
    <t>S.ID- 00192</t>
  </si>
  <si>
    <t>S.ID- 00193</t>
  </si>
  <si>
    <t>S.ID- 00194</t>
  </si>
  <si>
    <t>S.ID- 00195</t>
  </si>
  <si>
    <t>S.ID- 00196</t>
  </si>
  <si>
    <t>S.ID- 00197</t>
  </si>
  <si>
    <t>S.ID- 00198</t>
  </si>
  <si>
    <t>S.ID- 00199</t>
  </si>
  <si>
    <t>S.ID- 00200</t>
  </si>
  <si>
    <t>S.ID- 00201</t>
  </si>
  <si>
    <t>S.ID- 00202</t>
  </si>
  <si>
    <t>S.ID- 00203</t>
  </si>
  <si>
    <t>S.ID- 00204</t>
  </si>
  <si>
    <t>S.ID- 00205</t>
  </si>
  <si>
    <t>S.ID- 00206</t>
  </si>
  <si>
    <t>S.ID- 00207</t>
  </si>
  <si>
    <t>S.ID- 00208</t>
  </si>
  <si>
    <t>S.ID- 00209</t>
  </si>
  <si>
    <t>S.ID- 00210</t>
  </si>
  <si>
    <t>S.ID- 00211</t>
  </si>
  <si>
    <t>S.ID- 00212</t>
  </si>
  <si>
    <t>S.ID- 00213</t>
  </si>
  <si>
    <t>S.ID- 00214</t>
  </si>
  <si>
    <t>S.ID- 00215</t>
  </si>
  <si>
    <t>S.ID- 00216</t>
  </si>
  <si>
    <t>S.ID- 00217</t>
  </si>
  <si>
    <t>S.ID- 00218</t>
  </si>
  <si>
    <t>S.ID- 00219</t>
  </si>
  <si>
    <t>S.ID- 00220</t>
  </si>
  <si>
    <t>S.ID- 00221</t>
  </si>
  <si>
    <t>S.ID- 00222</t>
  </si>
  <si>
    <t>S.ID- 00223</t>
  </si>
  <si>
    <t>S.ID- 00224</t>
  </si>
  <si>
    <t>S.ID- 00225</t>
  </si>
  <si>
    <t>S.ID- 00226</t>
  </si>
  <si>
    <t>S.ID- 00227</t>
  </si>
  <si>
    <t>S.ID- 00228</t>
  </si>
  <si>
    <t>S.ID- 00229</t>
  </si>
  <si>
    <t>S.ID- 00230</t>
  </si>
  <si>
    <t>S.ID- 00231</t>
  </si>
  <si>
    <t>S.ID- 00232</t>
  </si>
  <si>
    <t>S.ID- 00233</t>
  </si>
  <si>
    <t>S.ID- 00234</t>
  </si>
  <si>
    <t>S.ID- 00235</t>
  </si>
  <si>
    <t>S.ID- 00236</t>
  </si>
  <si>
    <t>S.ID- 00237</t>
  </si>
  <si>
    <t>S.ID- 00238</t>
  </si>
  <si>
    <t>S.ID- 00239</t>
  </si>
  <si>
    <t>S.ID- 00240</t>
  </si>
  <si>
    <t>S.ID- 00241</t>
  </si>
  <si>
    <t>S.ID- 00242</t>
  </si>
  <si>
    <t>S.ID- 00243</t>
  </si>
  <si>
    <t>S.ID- 00244</t>
  </si>
  <si>
    <t>S.ID- 00245</t>
  </si>
  <si>
    <t>S.ID- 00246</t>
  </si>
  <si>
    <t>S.ID- 00247</t>
  </si>
  <si>
    <t>S.ID- 00248</t>
  </si>
  <si>
    <t>S.ID- 00249</t>
  </si>
  <si>
    <t>S.ID- 00250</t>
  </si>
  <si>
    <t>S.ID- 00251</t>
  </si>
  <si>
    <t>S.ID- 00252</t>
  </si>
  <si>
    <t>S.ID- 00253</t>
  </si>
  <si>
    <t>S.ID- 00254</t>
  </si>
  <si>
    <t>S.ID- 00255</t>
  </si>
  <si>
    <t>S.ID- 00256</t>
  </si>
  <si>
    <t>S.ID- 00257</t>
  </si>
  <si>
    <t>S.ID- 00258</t>
  </si>
  <si>
    <t>S.ID- 00259</t>
  </si>
  <si>
    <t>S.ID- 00260</t>
  </si>
  <si>
    <t>S.ID- 00261</t>
  </si>
  <si>
    <t>S.ID- 00262</t>
  </si>
  <si>
    <t>S.ID- 00263</t>
  </si>
  <si>
    <t>S.ID- 00264</t>
  </si>
  <si>
    <t>S.ID- 00265</t>
  </si>
  <si>
    <t>S.ID- 00266</t>
  </si>
  <si>
    <t>S.ID- 00267</t>
  </si>
  <si>
    <t>S.ID- 00268</t>
  </si>
  <si>
    <t>S.ID- 00269</t>
  </si>
  <si>
    <t>S.ID- 00270</t>
  </si>
  <si>
    <t>S.ID- 00271</t>
  </si>
  <si>
    <t>S.ID- 00272</t>
  </si>
  <si>
    <t>S.ID- 00273</t>
  </si>
  <si>
    <t>S.ID- 00274</t>
  </si>
  <si>
    <t>S.ID- 00275</t>
  </si>
  <si>
    <t>S.ID- 00276</t>
  </si>
  <si>
    <t>S.ID- 00277</t>
  </si>
  <si>
    <t>S.ID- 00278</t>
  </si>
  <si>
    <t>S.ID- 00279</t>
  </si>
  <si>
    <t>S.ID- 00280</t>
  </si>
  <si>
    <t>S.ID- 00281</t>
  </si>
  <si>
    <t>S.ID- 00282</t>
  </si>
  <si>
    <t>S.ID- 00283</t>
  </si>
  <si>
    <t>S.ID- 00284</t>
  </si>
  <si>
    <t>S.ID- 00285</t>
  </si>
  <si>
    <t>S.ID- 00286</t>
  </si>
  <si>
    <t>S.ID- 00287</t>
  </si>
  <si>
    <t>S.ID- 00288</t>
  </si>
  <si>
    <t>S.ID- 00289</t>
  </si>
  <si>
    <t>S.ID- 00290</t>
  </si>
  <si>
    <t>S.ID- 00291</t>
  </si>
  <si>
    <t>S.ID- 00292</t>
  </si>
  <si>
    <t>S.ID- 00293</t>
  </si>
  <si>
    <t>S.ID- 00294</t>
  </si>
  <si>
    <t>S.ID- 00295</t>
  </si>
  <si>
    <t>S.ID- 00296</t>
  </si>
  <si>
    <t>S.ID- 00297</t>
  </si>
  <si>
    <t>S.ID- 00298</t>
  </si>
  <si>
    <t>S.ID- 00299</t>
  </si>
  <si>
    <t>S.ID- 00300</t>
  </si>
  <si>
    <t>S.ID- 00301</t>
  </si>
  <si>
    <t>S.ID- 00302</t>
  </si>
  <si>
    <t>S.ID- 00303</t>
  </si>
  <si>
    <t>S.ID- 00304</t>
  </si>
  <si>
    <t>S.ID- 00305</t>
  </si>
  <si>
    <t>S.ID- 00306</t>
  </si>
  <si>
    <t>S.ID- 00307</t>
  </si>
  <si>
    <t>S.ID- 00308</t>
  </si>
  <si>
    <t>S.ID- 00309</t>
  </si>
  <si>
    <t>S.ID- 00310</t>
  </si>
  <si>
    <t>S.ID- 00311</t>
  </si>
  <si>
    <t>S.ID- 00312</t>
  </si>
  <si>
    <t>S.ID- 00313</t>
  </si>
  <si>
    <t>S.ID- 00314</t>
  </si>
  <si>
    <t>S.ID- 00315</t>
  </si>
  <si>
    <t>S.ID- 00316</t>
  </si>
  <si>
    <t>S.ID- 00317</t>
  </si>
  <si>
    <t>S.ID- 00318</t>
  </si>
  <si>
    <t>S.ID- 00319</t>
  </si>
  <si>
    <t>S.ID- 00320</t>
  </si>
  <si>
    <t>S.ID- 00321</t>
  </si>
  <si>
    <t>S.ID- 00322</t>
  </si>
  <si>
    <t>S.ID- 00323</t>
  </si>
  <si>
    <t>S.ID- 00324</t>
  </si>
  <si>
    <t>S.ID- 00325</t>
  </si>
  <si>
    <t>S.ID- 00326</t>
  </si>
  <si>
    <t>S.ID- 00327</t>
  </si>
  <si>
    <t>S.ID- 00328</t>
  </si>
  <si>
    <t>S.ID- 00329</t>
  </si>
  <si>
    <t>S.ID- 00330</t>
  </si>
  <si>
    <t>S.ID- 00331</t>
  </si>
  <si>
    <t>S.ID- 00332</t>
  </si>
  <si>
    <t>S.ID- 00333</t>
  </si>
  <si>
    <t>S.ID- 00334</t>
  </si>
  <si>
    <t>S.ID- 00335</t>
  </si>
  <si>
    <t>S.ID- 00336</t>
  </si>
  <si>
    <t>S.ID- 00337</t>
  </si>
  <si>
    <t>S.ID- 00338</t>
  </si>
  <si>
    <t>S.ID- 00339</t>
  </si>
  <si>
    <t>S.ID- 00340</t>
  </si>
  <si>
    <t>S.ID- 00341</t>
  </si>
  <si>
    <t>S.ID- 00342</t>
  </si>
  <si>
    <t>S.ID- 00343</t>
  </si>
  <si>
    <t>S.ID- 00344</t>
  </si>
  <si>
    <t>S.ID- 00345</t>
  </si>
  <si>
    <t>S.ID- 00346</t>
  </si>
  <si>
    <t>S.ID- 00347</t>
  </si>
  <si>
    <t>S.ID- 00348</t>
  </si>
  <si>
    <t>S.ID- 00349</t>
  </si>
  <si>
    <t>S.ID- 00350</t>
  </si>
  <si>
    <t>S.ID- 00351</t>
  </si>
  <si>
    <t>S.ID- 00352</t>
  </si>
  <si>
    <t>S.ID- 00353</t>
  </si>
  <si>
    <t>S.ID- 00354</t>
  </si>
  <si>
    <t>S.ID- 00355</t>
  </si>
  <si>
    <t>S.ID- 00356</t>
  </si>
  <si>
    <t>S.ID- 00357</t>
  </si>
  <si>
    <t>S.ID- 00358</t>
  </si>
  <si>
    <t>S.ID- 00359</t>
  </si>
  <si>
    <t>S.ID- 00360</t>
  </si>
  <si>
    <t>S.ID- 00361</t>
  </si>
  <si>
    <t>S.ID- 00362</t>
  </si>
  <si>
    <t>S.ID- 00363</t>
  </si>
  <si>
    <t>S.ID- 00364</t>
  </si>
  <si>
    <t>S.ID- 00365</t>
  </si>
  <si>
    <t>S.ID- 00366</t>
  </si>
  <si>
    <t>S.ID- 00367</t>
  </si>
  <si>
    <t>S.ID- 00368</t>
  </si>
  <si>
    <t>S.ID- 00369</t>
  </si>
  <si>
    <t>S.ID- 00370</t>
  </si>
  <si>
    <t>S.ID- 00371</t>
  </si>
  <si>
    <t>S.ID- 00372</t>
  </si>
  <si>
    <t>S.ID- 00373</t>
  </si>
  <si>
    <t>S.ID- 00374</t>
  </si>
  <si>
    <t>S.ID- 00375</t>
  </si>
  <si>
    <t>S.ID- 00376</t>
  </si>
  <si>
    <t>S.ID- 00377</t>
  </si>
  <si>
    <t>S.ID- 00378</t>
  </si>
  <si>
    <t>S.ID- 00379</t>
  </si>
  <si>
    <t>S.ID- 00380</t>
  </si>
  <si>
    <t>S.ID- 00381</t>
  </si>
  <si>
    <t>S.ID- 00382</t>
  </si>
  <si>
    <t>S.ID- 00383</t>
  </si>
  <si>
    <t>S.ID- 00384</t>
  </si>
  <si>
    <t>S.ID- 00385</t>
  </si>
  <si>
    <t>S.ID- 00386</t>
  </si>
  <si>
    <t>S.ID- 00387</t>
  </si>
  <si>
    <t>S.ID- 00388</t>
  </si>
  <si>
    <t>S.ID- 00389</t>
  </si>
  <si>
    <t>S.ID- 00390</t>
  </si>
  <si>
    <t>S.ID- 00391</t>
  </si>
  <si>
    <t>S.ID- 00392</t>
  </si>
  <si>
    <t>S.ID- 00393</t>
  </si>
  <si>
    <t>S.ID- 00394</t>
  </si>
  <si>
    <t>S.ID- 00395</t>
  </si>
  <si>
    <t>S.ID- 00396</t>
  </si>
  <si>
    <t>S.ID- 00397</t>
  </si>
  <si>
    <t>S.ID- 00398</t>
  </si>
  <si>
    <t>S.ID- 00399</t>
  </si>
  <si>
    <t>S.ID- 00400</t>
  </si>
  <si>
    <t>S.ID- 00401</t>
  </si>
  <si>
    <t>S.ID- 00402</t>
  </si>
  <si>
    <t>S.ID- 00403</t>
  </si>
  <si>
    <t>S.ID- 00404</t>
  </si>
  <si>
    <t>S.ID- 00405</t>
  </si>
  <si>
    <t>S.ID- 00406</t>
  </si>
  <si>
    <t>S.ID- 00407</t>
  </si>
  <si>
    <t>S.ID- 00408</t>
  </si>
  <si>
    <t>S.ID- 00409</t>
  </si>
  <si>
    <t>S.ID- 00410</t>
  </si>
  <si>
    <t>S.ID- 00411</t>
  </si>
  <si>
    <t>S.ID- 00412</t>
  </si>
  <si>
    <t>S.ID- 00413</t>
  </si>
  <si>
    <t>S.ID- 00414</t>
  </si>
  <si>
    <t>S.ID- 00415</t>
  </si>
  <si>
    <t>S.ID- 00416</t>
  </si>
  <si>
    <t>S.ID- 00417</t>
  </si>
  <si>
    <t>S.ID- 00418</t>
  </si>
  <si>
    <t>S.ID- 00419</t>
  </si>
  <si>
    <t>S.ID- 00420</t>
  </si>
  <si>
    <t>S.ID- 00421</t>
  </si>
  <si>
    <t>S.ID- 00422</t>
  </si>
  <si>
    <t>S.ID- 00423</t>
  </si>
  <si>
    <t>S.ID- 00424</t>
  </si>
  <si>
    <t>S.ID- 00425</t>
  </si>
  <si>
    <t>S.ID- 00426</t>
  </si>
  <si>
    <t>S.ID- 00427</t>
  </si>
  <si>
    <t>S.ID- 00428</t>
  </si>
  <si>
    <t>S.ID- 00429</t>
  </si>
  <si>
    <t>S.ID- 00430</t>
  </si>
  <si>
    <t>S.ID- 00431</t>
  </si>
  <si>
    <t>S.ID- 00432</t>
  </si>
  <si>
    <t>S.ID- 00433</t>
  </si>
  <si>
    <t>S.ID- 00434</t>
  </si>
  <si>
    <t>S.ID- 00435</t>
  </si>
  <si>
    <t>S.ID- 00436</t>
  </si>
  <si>
    <t>S.ID- 00437</t>
  </si>
  <si>
    <t>S.ID- 00438</t>
  </si>
  <si>
    <t>S.ID- 00439</t>
  </si>
  <si>
    <t>S.ID- 00440</t>
  </si>
  <si>
    <t>S.ID- 00441</t>
  </si>
  <si>
    <t>S.ID- 00442</t>
  </si>
  <si>
    <t>S.ID- 00443</t>
  </si>
  <si>
    <t>S.ID- 00444</t>
  </si>
  <si>
    <t>S.ID- 00445</t>
  </si>
  <si>
    <t>S.ID- 00446</t>
  </si>
  <si>
    <t>S.ID- 00447</t>
  </si>
  <si>
    <t>S.ID- 00448</t>
  </si>
  <si>
    <t>S.ID- 00449</t>
  </si>
  <si>
    <t>S.ID- 00450</t>
  </si>
  <si>
    <t>S.ID- 00451</t>
  </si>
  <si>
    <t>S.ID- 00452</t>
  </si>
  <si>
    <t>S.ID- 00453</t>
  </si>
  <si>
    <t>S.ID- 00454</t>
  </si>
  <si>
    <t>S.ID- 00455</t>
  </si>
  <si>
    <t>S.ID- 00456</t>
  </si>
  <si>
    <t>S.ID- 00457</t>
  </si>
  <si>
    <t>S.ID- 00458</t>
  </si>
  <si>
    <t>S.ID- 00459</t>
  </si>
  <si>
    <t>S.ID- 00460</t>
  </si>
  <si>
    <t>S.ID- 00461</t>
  </si>
  <si>
    <t>S.ID- 00462</t>
  </si>
  <si>
    <t>S.ID- 00463</t>
  </si>
  <si>
    <t>S.ID- 00464</t>
  </si>
  <si>
    <t>S.ID- 00465</t>
  </si>
  <si>
    <t>S.ID- 00466</t>
  </si>
  <si>
    <t>S.ID- 00467</t>
  </si>
  <si>
    <t>S.ID- 00468</t>
  </si>
  <si>
    <t>S.ID- 00469</t>
  </si>
  <si>
    <t>S.ID- 00470</t>
  </si>
  <si>
    <t>S.ID- 00471</t>
  </si>
  <si>
    <t>S.ID- 00472</t>
  </si>
  <si>
    <t>S.ID- 00473</t>
  </si>
  <si>
    <t>S.ID- 00474</t>
  </si>
  <si>
    <t>S.ID- 00475</t>
  </si>
  <si>
    <t>S.ID- 00476</t>
  </si>
  <si>
    <t>S.ID- 00477</t>
  </si>
  <si>
    <t>S.ID- 00478</t>
  </si>
  <si>
    <t>S.ID- 00479</t>
  </si>
  <si>
    <t>S.ID- 00480</t>
  </si>
  <si>
    <t>S.ID- 00481</t>
  </si>
  <si>
    <t>S.ID- 00482</t>
  </si>
  <si>
    <t>S.ID- 00483</t>
  </si>
  <si>
    <t>S.ID- 00484</t>
  </si>
  <si>
    <t>S.ID- 00485</t>
  </si>
  <si>
    <t>S.ID- 00486</t>
  </si>
  <si>
    <t>S.ID- 00487</t>
  </si>
  <si>
    <t>S.ID- 00488</t>
  </si>
  <si>
    <t>S.ID- 00489</t>
  </si>
  <si>
    <t>S.ID- 00490</t>
  </si>
  <si>
    <t>S.ID- 00491</t>
  </si>
  <si>
    <t>S.ID- 00492</t>
  </si>
  <si>
    <t>S.ID- 00493</t>
  </si>
  <si>
    <t>S.ID- 00494</t>
  </si>
  <si>
    <t>S.ID- 00495</t>
  </si>
  <si>
    <t>S.ID- 00496</t>
  </si>
  <si>
    <t>S.ID- 00497</t>
  </si>
  <si>
    <t>S.ID- 00498</t>
  </si>
  <si>
    <t>S.ID- 00499</t>
  </si>
  <si>
    <t>S.ID- 00500</t>
  </si>
  <si>
    <t>S.ID- 00501</t>
  </si>
  <si>
    <t>S.ID- 00502</t>
  </si>
  <si>
    <t>S.ID- 00503</t>
  </si>
  <si>
    <t>S.ID- 00504</t>
  </si>
  <si>
    <t>S.ID- 00505</t>
  </si>
  <si>
    <t>S.ID- 00506</t>
  </si>
  <si>
    <t>S.ID- 00507</t>
  </si>
  <si>
    <t>S.ID- 00508</t>
  </si>
  <si>
    <t>S.ID- 00509</t>
  </si>
  <si>
    <t>S.ID- 00510</t>
  </si>
  <si>
    <t>S.ID- 00511</t>
  </si>
  <si>
    <t>S.ID- 00512</t>
  </si>
  <si>
    <t>S.ID- 00513</t>
  </si>
  <si>
    <t>S.ID- 00514</t>
  </si>
  <si>
    <t>S.ID- 00515</t>
  </si>
  <si>
    <t>S.ID- 00516</t>
  </si>
  <si>
    <t>S.ID- 00517</t>
  </si>
  <si>
    <t>S.ID- 00518</t>
  </si>
  <si>
    <t>S.ID- 00519</t>
  </si>
  <si>
    <t>S.ID- 00520</t>
  </si>
  <si>
    <t>S.ID- 00521</t>
  </si>
  <si>
    <t>S.ID- 00522</t>
  </si>
  <si>
    <t>S.ID- 00523</t>
  </si>
  <si>
    <t>S.ID- 00524</t>
  </si>
  <si>
    <t>S.ID- 00525</t>
  </si>
  <si>
    <t>S.ID- 00526</t>
  </si>
  <si>
    <t>S.ID- 00527</t>
  </si>
  <si>
    <t>S.ID- 00528</t>
  </si>
  <si>
    <t>S.ID- 00529</t>
  </si>
  <si>
    <t>S.ID- 00530</t>
  </si>
  <si>
    <t>S.ID- 00531</t>
  </si>
  <si>
    <t>S.ID- 00532</t>
  </si>
  <si>
    <t>S.ID- 00533</t>
  </si>
  <si>
    <t>S.ID- 00534</t>
  </si>
  <si>
    <t>S.ID- 00535</t>
  </si>
  <si>
    <t>S.ID- 00536</t>
  </si>
  <si>
    <t>S.ID- 00537</t>
  </si>
  <si>
    <t>S.ID- 00538</t>
  </si>
  <si>
    <t>S.ID- 00539</t>
  </si>
  <si>
    <t>S.ID- 00540</t>
  </si>
  <si>
    <t>S.ID- 00541</t>
  </si>
  <si>
    <t>S.ID- 00542</t>
  </si>
  <si>
    <t>S.ID- 00543</t>
  </si>
  <si>
    <t>S.ID- 00544</t>
  </si>
  <si>
    <t>S.ID- 00545</t>
  </si>
  <si>
    <t>S.ID- 00546</t>
  </si>
  <si>
    <t>S.ID- 00547</t>
  </si>
  <si>
    <t>S.ID- 00548</t>
  </si>
  <si>
    <t>S.ID- 00549</t>
  </si>
  <si>
    <t>S.ID- 00550</t>
  </si>
  <si>
    <t>S.ID- 00551</t>
  </si>
  <si>
    <t>S.ID- 00552</t>
  </si>
  <si>
    <t>S.ID- 00553</t>
  </si>
  <si>
    <t>S.ID- 00554</t>
  </si>
  <si>
    <t>S.ID- 00555</t>
  </si>
  <si>
    <t>S.ID- 00556</t>
  </si>
  <si>
    <t>S.ID- 00557</t>
  </si>
  <si>
    <t>S.ID- 00558</t>
  </si>
  <si>
    <t>S.ID- 00559</t>
  </si>
  <si>
    <t>S.ID- 00560</t>
  </si>
  <si>
    <t>S.ID- 00561</t>
  </si>
  <si>
    <t>S.ID- 00562</t>
  </si>
  <si>
    <t>S.ID- 00563</t>
  </si>
  <si>
    <t>S.ID- 00564</t>
  </si>
  <si>
    <t>S.ID- 00565</t>
  </si>
  <si>
    <t>S.ID- 00566</t>
  </si>
  <si>
    <t>S.ID- 00567</t>
  </si>
  <si>
    <t>S.ID- 00568</t>
  </si>
  <si>
    <t>S.ID- 00569</t>
  </si>
  <si>
    <t>S.ID- 00570</t>
  </si>
  <si>
    <t>S.ID- 00571</t>
  </si>
  <si>
    <t>S.ID- 00572</t>
  </si>
  <si>
    <t>S.ID- 00573</t>
  </si>
  <si>
    <t>S.ID- 00574</t>
  </si>
  <si>
    <t>S.ID- 00575</t>
  </si>
  <si>
    <t>S.ID- 00576</t>
  </si>
  <si>
    <t>S.ID- 00577</t>
  </si>
  <si>
    <t>S.ID- 00578</t>
  </si>
  <si>
    <t>S.ID- 00579</t>
  </si>
  <si>
    <t>S.ID- 00580</t>
  </si>
  <si>
    <t>S.ID- 00581</t>
  </si>
  <si>
    <t>S.ID- 00582</t>
  </si>
  <si>
    <t>S.ID- 00583</t>
  </si>
  <si>
    <t>S.ID- 00584</t>
  </si>
  <si>
    <t>S.ID- 00585</t>
  </si>
  <si>
    <t>S.ID- 00586</t>
  </si>
  <si>
    <t>S.ID- 00587</t>
  </si>
  <si>
    <t>S.ID- 00588</t>
  </si>
  <si>
    <t>S.ID- 00589</t>
  </si>
  <si>
    <t>S.ID- 00590</t>
  </si>
  <si>
    <t>S.ID- 00591</t>
  </si>
  <si>
    <t>S.ID- 00592</t>
  </si>
  <si>
    <t>S.ID- 00593</t>
  </si>
  <si>
    <t>S.ID- 00594</t>
  </si>
  <si>
    <t>S.ID- 00595</t>
  </si>
  <si>
    <t>S.ID- 00596</t>
  </si>
  <si>
    <t>S.ID- 00597</t>
  </si>
  <si>
    <t>S.ID- 00598</t>
  </si>
  <si>
    <t>S.ID- 00599</t>
  </si>
  <si>
    <t>S.ID- 00600</t>
  </si>
  <si>
    <t>S.ID- 00601</t>
  </si>
  <si>
    <t>S.ID- 00602</t>
  </si>
  <si>
    <t>S.ID- 00603</t>
  </si>
  <si>
    <t>S.ID- 00604</t>
  </si>
  <si>
    <t>S.ID- 00605</t>
  </si>
  <si>
    <t>S.ID- 00606</t>
  </si>
  <si>
    <t>S.ID- 00607</t>
  </si>
  <si>
    <t>S.ID- 00608</t>
  </si>
  <si>
    <t>S.ID- 00609</t>
  </si>
  <si>
    <t>S.ID- 00610</t>
  </si>
  <si>
    <t>S.ID- 00611</t>
  </si>
  <si>
    <t>S.ID- 00612</t>
  </si>
  <si>
    <t>S.ID- 00613</t>
  </si>
  <si>
    <t>S.ID- 00614</t>
  </si>
  <si>
    <t>S.ID- 00615</t>
  </si>
  <si>
    <t>S.ID- 00616</t>
  </si>
  <si>
    <t>S.ID- 00617</t>
  </si>
  <si>
    <t>S.ID- 00618</t>
  </si>
  <si>
    <t>S.ID- 00619</t>
  </si>
  <si>
    <t>S.ID- 00620</t>
  </si>
  <si>
    <t>S.ID- 00621</t>
  </si>
  <si>
    <t>S.ID- 00622</t>
  </si>
  <si>
    <t>S.ID- 00623</t>
  </si>
  <si>
    <t>S.ID- 00624</t>
  </si>
  <si>
    <t>S.ID- 00625</t>
  </si>
  <si>
    <t>S.ID- 00626</t>
  </si>
  <si>
    <t>S.ID- 00627</t>
  </si>
  <si>
    <t>S.ID- 00628</t>
  </si>
  <si>
    <t>S.ID- 00629</t>
  </si>
  <si>
    <t>S.ID- 00630</t>
  </si>
  <si>
    <t>S.ID- 00631</t>
  </si>
  <si>
    <t>S.ID- 00632</t>
  </si>
  <si>
    <t>S.ID- 00633</t>
  </si>
  <si>
    <t>S.ID- 00634</t>
  </si>
  <si>
    <t>S.ID- 00635</t>
  </si>
  <si>
    <t>S.ID- 00636</t>
  </si>
  <si>
    <t>S.ID- 00637</t>
  </si>
  <si>
    <t>S.ID- 00638</t>
  </si>
  <si>
    <t>S.ID- 00639</t>
  </si>
  <si>
    <t>S.ID- 00640</t>
  </si>
  <si>
    <t>S.ID- 00641</t>
  </si>
  <si>
    <t>S.ID- 00642</t>
  </si>
  <si>
    <t>S.ID- 00643</t>
  </si>
  <si>
    <t>S.ID- 00644</t>
  </si>
  <si>
    <t>S.ID- 00645</t>
  </si>
  <si>
    <t>S.ID- 00646</t>
  </si>
  <si>
    <t>S.ID- 00647</t>
  </si>
  <si>
    <t>S.ID- 00648</t>
  </si>
  <si>
    <t>S.ID- 00649</t>
  </si>
  <si>
    <t>S.ID- 00650</t>
  </si>
  <si>
    <t>S.ID- 00651</t>
  </si>
  <si>
    <t>S.ID- 00652</t>
  </si>
  <si>
    <t>S.ID- 00653</t>
  </si>
  <si>
    <t>S.ID- 00654</t>
  </si>
  <si>
    <t>S.ID- 00655</t>
  </si>
  <si>
    <t>S.ID- 00656</t>
  </si>
  <si>
    <t>S.ID- 00657</t>
  </si>
  <si>
    <t>S.ID- 00658</t>
  </si>
  <si>
    <t>S.ID- 00659</t>
  </si>
  <si>
    <t>S.ID- 00660</t>
  </si>
  <si>
    <t>S.ID- 00661</t>
  </si>
  <si>
    <t>S.ID- 00662</t>
  </si>
  <si>
    <t>S.ID- 00663</t>
  </si>
  <si>
    <t>S.ID- 00664</t>
  </si>
  <si>
    <t>S.ID- 00665</t>
  </si>
  <si>
    <t>S.ID- 00666</t>
  </si>
  <si>
    <t>S.ID- 00667</t>
  </si>
  <si>
    <t>S.ID- 00668</t>
  </si>
  <si>
    <t>S.ID- 00669</t>
  </si>
  <si>
    <t>S.ID- 00670</t>
  </si>
  <si>
    <t>S.ID- 00671</t>
  </si>
  <si>
    <t>S.ID- 00672</t>
  </si>
  <si>
    <t>S.ID- 00673</t>
  </si>
  <si>
    <t>S.ID- 00674</t>
  </si>
  <si>
    <t>S.ID- 00675</t>
  </si>
  <si>
    <t>S.ID- 00676</t>
  </si>
  <si>
    <t>S.ID- 00677</t>
  </si>
  <si>
    <t>S.ID- 00678</t>
  </si>
  <si>
    <t>S.ID- 00679</t>
  </si>
  <si>
    <t>S.ID- 00680</t>
  </si>
  <si>
    <t>S.ID- 00681</t>
  </si>
  <si>
    <t>S.ID- 00682</t>
  </si>
  <si>
    <t>S.ID- 00683</t>
  </si>
  <si>
    <t>S.ID- 00684</t>
  </si>
  <si>
    <t>S.ID- 00685</t>
  </si>
  <si>
    <t>S.ID- 00686</t>
  </si>
  <si>
    <t>S.ID- 00687</t>
  </si>
  <si>
    <t>S.ID- 00688</t>
  </si>
  <si>
    <t>S.ID- 00689</t>
  </si>
  <si>
    <t>S.ID- 00690</t>
  </si>
  <si>
    <t>S.ID- 00691</t>
  </si>
  <si>
    <t>S.ID- 00692</t>
  </si>
  <si>
    <t>S.ID- 00693</t>
  </si>
  <si>
    <t>S.ID- 00694</t>
  </si>
  <si>
    <t>S.ID- 00695</t>
  </si>
  <si>
    <t>S.ID- 00696</t>
  </si>
  <si>
    <t>S.ID- 00697</t>
  </si>
  <si>
    <t>S.ID- 00698</t>
  </si>
  <si>
    <t>S.ID- 00699</t>
  </si>
  <si>
    <t>S.ID- 00700</t>
  </si>
  <si>
    <t>S.ID- 00701</t>
  </si>
  <si>
    <t>S.ID- 00702</t>
  </si>
  <si>
    <t>S.ID- 00703</t>
  </si>
  <si>
    <t>S.ID- 00704</t>
  </si>
  <si>
    <t>S.ID- 00705</t>
  </si>
  <si>
    <t>S.ID- 00706</t>
  </si>
  <si>
    <t>S.ID- 00707</t>
  </si>
  <si>
    <t>S.ID- 00708</t>
  </si>
  <si>
    <t>S.ID- 00709</t>
  </si>
  <si>
    <t>S.ID- 00710</t>
  </si>
  <si>
    <t>S.ID- 00711</t>
  </si>
  <si>
    <t>S.ID- 00712</t>
  </si>
  <si>
    <t>S.ID- 00713</t>
  </si>
  <si>
    <t>S.ID- 00714</t>
  </si>
  <si>
    <t>S.ID- 00715</t>
  </si>
  <si>
    <t>S.ID- 00716</t>
  </si>
  <si>
    <t>S.ID- 00717</t>
  </si>
  <si>
    <t>S.ID- 00718</t>
  </si>
  <si>
    <t>S.ID- 00719</t>
  </si>
  <si>
    <t>S.ID- 00720</t>
  </si>
  <si>
    <t>S.ID- 00721</t>
  </si>
  <si>
    <t>S.ID- 00722</t>
  </si>
  <si>
    <t>S.ID- 00723</t>
  </si>
  <si>
    <t>S.ID- 00724</t>
  </si>
  <si>
    <t>S.ID- 00725</t>
  </si>
  <si>
    <t>S.ID- 00726</t>
  </si>
  <si>
    <t>S.ID- 00727</t>
  </si>
  <si>
    <t>S.ID- 00728</t>
  </si>
  <si>
    <t>S.ID- 00729</t>
  </si>
  <si>
    <t>S.ID- 00730</t>
  </si>
  <si>
    <t>S.ID- 00731</t>
  </si>
  <si>
    <t>S.ID- 00732</t>
  </si>
  <si>
    <t>S.ID- 00733</t>
  </si>
  <si>
    <t>S.ID- 00734</t>
  </si>
  <si>
    <t>S.ID- 00735</t>
  </si>
  <si>
    <t>S.ID- 00736</t>
  </si>
  <si>
    <t>S.ID- 00737</t>
  </si>
  <si>
    <t>S.ID- 00738</t>
  </si>
  <si>
    <t>S.ID- 00739</t>
  </si>
  <si>
    <t>S.ID- 00740</t>
  </si>
  <si>
    <t>S.ID- 00741</t>
  </si>
  <si>
    <t>S.ID- 00742</t>
  </si>
  <si>
    <t>S.ID- 00743</t>
  </si>
  <si>
    <t>S.ID- 00744</t>
  </si>
  <si>
    <t>S.ID- 00745</t>
  </si>
  <si>
    <t>S.ID- 00746</t>
  </si>
  <si>
    <t>S.ID- 00747</t>
  </si>
  <si>
    <t>S.ID- 00748</t>
  </si>
  <si>
    <t>S.ID- 00749</t>
  </si>
  <si>
    <t>S.ID- 00750</t>
  </si>
  <si>
    <t>S.ID- 00751</t>
  </si>
  <si>
    <t>S.ID- 00752</t>
  </si>
  <si>
    <t>S.ID- 00753</t>
  </si>
  <si>
    <t>S.ID- 00754</t>
  </si>
  <si>
    <t>S.ID- 00755</t>
  </si>
  <si>
    <t>S.ID- 00756</t>
  </si>
  <si>
    <t>S.ID- 00757</t>
  </si>
  <si>
    <t>S.ID- 00758</t>
  </si>
  <si>
    <t>S.ID- 00759</t>
  </si>
  <si>
    <t>S.ID- 00760</t>
  </si>
  <si>
    <t>S.ID- 00761</t>
  </si>
  <si>
    <t>S.ID- 00762</t>
  </si>
  <si>
    <t>S.ID- 00763</t>
  </si>
  <si>
    <t>S.ID- 00764</t>
  </si>
  <si>
    <t>S.ID- 00765</t>
  </si>
  <si>
    <t>S.ID- 00766</t>
  </si>
  <si>
    <t>S.ID- 00767</t>
  </si>
  <si>
    <t>S.ID- 00768</t>
  </si>
  <si>
    <t>S.ID- 00769</t>
  </si>
  <si>
    <t>S.ID- 00770</t>
  </si>
  <si>
    <t>S.ID- 00771</t>
  </si>
  <si>
    <t>S.ID- 00772</t>
  </si>
  <si>
    <t>S.ID- 00773</t>
  </si>
  <si>
    <t>S.ID- 00774</t>
  </si>
  <si>
    <t>S.ID- 00775</t>
  </si>
  <si>
    <t>S.ID- 00776</t>
  </si>
  <si>
    <t>S.ID- 00777</t>
  </si>
  <si>
    <t>S.ID- 00778</t>
  </si>
  <si>
    <t>S.ID- 00779</t>
  </si>
  <si>
    <t>S.ID- 00780</t>
  </si>
  <si>
    <t>S.ID- 00781</t>
  </si>
  <si>
    <t>S.ID- 00782</t>
  </si>
  <si>
    <t>S.ID- 00783</t>
  </si>
  <si>
    <t>S.ID- 00784</t>
  </si>
  <si>
    <t>S.ID- 00785</t>
  </si>
  <si>
    <t>S.ID- 00786</t>
  </si>
  <si>
    <t>S.ID- 00787</t>
  </si>
  <si>
    <t>S.ID- 00788</t>
  </si>
  <si>
    <t>S.ID- 00789</t>
  </si>
  <si>
    <t>S.ID- 00790</t>
  </si>
  <si>
    <t>S.ID- 00791</t>
  </si>
  <si>
    <t>S.ID- 00792</t>
  </si>
  <si>
    <t>S.ID- 00793</t>
  </si>
  <si>
    <t>S.ID- 00794</t>
  </si>
  <si>
    <t>S.ID- 00795</t>
  </si>
  <si>
    <t>S.ID- 00796</t>
  </si>
  <si>
    <t>S.ID- 00797</t>
  </si>
  <si>
    <t>S.ID- 00798</t>
  </si>
  <si>
    <t>S.ID- 00799</t>
  </si>
  <si>
    <t>S.ID- 00800</t>
  </si>
  <si>
    <t>S.ID- 00801</t>
  </si>
  <si>
    <t>S.ID- 00802</t>
  </si>
  <si>
    <t>S.ID- 00803</t>
  </si>
  <si>
    <t>S.ID- 00804</t>
  </si>
  <si>
    <t>S.ID- 00805</t>
  </si>
  <si>
    <t>S.ID- 00806</t>
  </si>
  <si>
    <t>S.ID- 00807</t>
  </si>
  <si>
    <t>S.ID- 00808</t>
  </si>
  <si>
    <t>S.ID- 00809</t>
  </si>
  <si>
    <t>S.ID- 00810</t>
  </si>
  <si>
    <t>S.ID- 00811</t>
  </si>
  <si>
    <t>S.ID- 00812</t>
  </si>
  <si>
    <t>S.ID- 00813</t>
  </si>
  <si>
    <t>S.ID- 00814</t>
  </si>
  <si>
    <t>S.ID- 00815</t>
  </si>
  <si>
    <t>S.ID- 00816</t>
  </si>
  <si>
    <t>S.ID- 00817</t>
  </si>
  <si>
    <t>S.ID- 00818</t>
  </si>
  <si>
    <t>S.ID- 00819</t>
  </si>
  <si>
    <t>S.ID- 00820</t>
  </si>
  <si>
    <t>S.ID- 00821</t>
  </si>
  <si>
    <t>S.ID- 00822</t>
  </si>
  <si>
    <t>S.ID- 00823</t>
  </si>
  <si>
    <t>S.ID- 00824</t>
  </si>
  <si>
    <t>S.ID- 00825</t>
  </si>
  <si>
    <t>S.ID- 00826</t>
  </si>
  <si>
    <t>S.ID- 00827</t>
  </si>
  <si>
    <t>S.ID- 00828</t>
  </si>
  <si>
    <t>S.ID- 00829</t>
  </si>
  <si>
    <t>S.ID- 00830</t>
  </si>
  <si>
    <t>S.ID- 00831</t>
  </si>
  <si>
    <t>S.ID- 00832</t>
  </si>
  <si>
    <t>S.ID- 00833</t>
  </si>
  <si>
    <t>S.ID- 00834</t>
  </si>
  <si>
    <t>S.ID- 00835</t>
  </si>
  <si>
    <t>S.ID- 00836</t>
  </si>
  <si>
    <t>S.ID- 00837</t>
  </si>
  <si>
    <t>S.ID- 00838</t>
  </si>
  <si>
    <t>S.ID- 00839</t>
  </si>
  <si>
    <t>S.ID- 00840</t>
  </si>
  <si>
    <t>S.ID- 00841</t>
  </si>
  <si>
    <t>S.ID- 00842</t>
  </si>
  <si>
    <t>S.ID- 00843</t>
  </si>
  <si>
    <t>S.ID- 00844</t>
  </si>
  <si>
    <t>S.ID- 00845</t>
  </si>
  <si>
    <t>S.ID- 00846</t>
  </si>
  <si>
    <t>S.ID- 00847</t>
  </si>
  <si>
    <t>S.ID- 00848</t>
  </si>
  <si>
    <t>S.ID- 00849</t>
  </si>
  <si>
    <t>S.ID- 00850</t>
  </si>
  <si>
    <t>S.ID- 00851</t>
  </si>
  <si>
    <t>S.ID- 00852</t>
  </si>
  <si>
    <t>S.ID- 00853</t>
  </si>
  <si>
    <t>S.ID- 00854</t>
  </si>
  <si>
    <t>S.ID- 00855</t>
  </si>
  <si>
    <t>S.ID- 00856</t>
  </si>
  <si>
    <t>S.ID- 00857</t>
  </si>
  <si>
    <t>S.ID- 00858</t>
  </si>
  <si>
    <t>S.ID- 00859</t>
  </si>
  <si>
    <t>S.ID- 00860</t>
  </si>
  <si>
    <t>S.ID- 00861</t>
  </si>
  <si>
    <t>S.ID- 00862</t>
  </si>
  <si>
    <t>S.ID- 00863</t>
  </si>
  <si>
    <t>S.ID- 00864</t>
  </si>
  <si>
    <t>S.ID- 00865</t>
  </si>
  <si>
    <t>S.ID- 00866</t>
  </si>
  <si>
    <t>S.ID- 00867</t>
  </si>
  <si>
    <t>S.ID- 00868</t>
  </si>
  <si>
    <t>S.ID- 00869</t>
  </si>
  <si>
    <t>S.ID- 00870</t>
  </si>
  <si>
    <t>S.ID- 00871</t>
  </si>
  <si>
    <t>S.ID- 00872</t>
  </si>
  <si>
    <t>S.ID- 00873</t>
  </si>
  <si>
    <t>S.ID- 00874</t>
  </si>
  <si>
    <t>S.ID- 00875</t>
  </si>
  <si>
    <t>S.ID- 00876</t>
  </si>
  <si>
    <t>S.ID- 00877</t>
  </si>
  <si>
    <t>S.ID- 00878</t>
  </si>
  <si>
    <t>S.ID- 00879</t>
  </si>
  <si>
    <t>S.ID- 00880</t>
  </si>
  <si>
    <t>S.ID- 00881</t>
  </si>
  <si>
    <t>S.ID- 00882</t>
  </si>
  <si>
    <t>S.ID- 00883</t>
  </si>
  <si>
    <t>S.ID- 00884</t>
  </si>
  <si>
    <t>S.ID- 00885</t>
  </si>
  <si>
    <t>S.ID- 00886</t>
  </si>
  <si>
    <t>S.ID- 00887</t>
  </si>
  <si>
    <t>S.ID- 00888</t>
  </si>
  <si>
    <t>S.ID- 00889</t>
  </si>
  <si>
    <t>S.ID- 00890</t>
  </si>
  <si>
    <t>S.ID- 00891</t>
  </si>
  <si>
    <t>S.ID- 00892</t>
  </si>
  <si>
    <t>S.ID- 00893</t>
  </si>
  <si>
    <t>S.ID- 00894</t>
  </si>
  <si>
    <t>S.ID- 00895</t>
  </si>
  <si>
    <t>S.ID- 00896</t>
  </si>
  <si>
    <t>S.ID- 00897</t>
  </si>
  <si>
    <t>S.ID- 00898</t>
  </si>
  <si>
    <t>S.ID- 00899</t>
  </si>
  <si>
    <t>S.ID- 00900</t>
  </si>
  <si>
    <t>S.ID- 00901</t>
  </si>
  <si>
    <t>S.ID- 00902</t>
  </si>
  <si>
    <t>S.ID- 00903</t>
  </si>
  <si>
    <t>S.ID- 00904</t>
  </si>
  <si>
    <t>S.ID- 00905</t>
  </si>
  <si>
    <t>S.ID- 00906</t>
  </si>
  <si>
    <t>S.ID- 00907</t>
  </si>
  <si>
    <t>S.ID- 00908</t>
  </si>
  <si>
    <t>S.ID- 00909</t>
  </si>
  <si>
    <t>S.ID- 00910</t>
  </si>
  <si>
    <t>S.ID- 00911</t>
  </si>
  <si>
    <t>S.ID- 00912</t>
  </si>
  <si>
    <t>S.ID- 00913</t>
  </si>
  <si>
    <t>S.ID- 00914</t>
  </si>
  <si>
    <t>S.ID- 00915</t>
  </si>
  <si>
    <t>S.ID- 00916</t>
  </si>
  <si>
    <t>S.ID- 00917</t>
  </si>
  <si>
    <t>S.ID- 00918</t>
  </si>
  <si>
    <t>S.ID- 00919</t>
  </si>
  <si>
    <t>S.ID- 00920</t>
  </si>
  <si>
    <t>S.ID- 00921</t>
  </si>
  <si>
    <t>S.ID- 00922</t>
  </si>
  <si>
    <t>S.ID- 00923</t>
  </si>
  <si>
    <t>S.ID- 00924</t>
  </si>
  <si>
    <t>S.ID- 00925</t>
  </si>
  <si>
    <t>S.ID- 00926</t>
  </si>
  <si>
    <t>S.ID- 00927</t>
  </si>
  <si>
    <t>S.ID- 00928</t>
  </si>
  <si>
    <t>S.ID- 00929</t>
  </si>
  <si>
    <t>S.ID- 00930</t>
  </si>
  <si>
    <t>S.ID- 00931</t>
  </si>
  <si>
    <t>S.ID- 00932</t>
  </si>
  <si>
    <t>S.ID- 00933</t>
  </si>
  <si>
    <t>S.ID- 00934</t>
  </si>
  <si>
    <t>S.ID- 00935</t>
  </si>
  <si>
    <t>S.ID- 00936</t>
  </si>
  <si>
    <t>S.ID- 00937</t>
  </si>
  <si>
    <t>S.ID- 00938</t>
  </si>
  <si>
    <t>S.ID- 00939</t>
  </si>
  <si>
    <t>S.ID- 00940</t>
  </si>
  <si>
    <t>S.ID- 00941</t>
  </si>
  <si>
    <t>S.ID- 00942</t>
  </si>
  <si>
    <t>S.ID- 00943</t>
  </si>
  <si>
    <t>S.ID- 00944</t>
  </si>
  <si>
    <t>S.ID- 00945</t>
  </si>
  <si>
    <t>S.ID- 00946</t>
  </si>
  <si>
    <t>S.ID- 00947</t>
  </si>
  <si>
    <t>S.ID- 00948</t>
  </si>
  <si>
    <t>S.ID- 00949</t>
  </si>
  <si>
    <t>S.ID- 00950</t>
  </si>
  <si>
    <t>S.ID- 00951</t>
  </si>
  <si>
    <t>S.ID- 00952</t>
  </si>
  <si>
    <t>S.ID- 00953</t>
  </si>
  <si>
    <t>S.ID- 00954</t>
  </si>
  <si>
    <t>S.ID- 00955</t>
  </si>
  <si>
    <t>S.ID- 00956</t>
  </si>
  <si>
    <t>S.ID- 00957</t>
  </si>
  <si>
    <t>S.ID- 00958</t>
  </si>
  <si>
    <t>S.ID- 00959</t>
  </si>
  <si>
    <t>S.ID- 00960</t>
  </si>
  <si>
    <t>S.ID- 00961</t>
  </si>
  <si>
    <t>S.ID- 00962</t>
  </si>
  <si>
    <t>S.ID- 00963</t>
  </si>
  <si>
    <t>S.ID- 00964</t>
  </si>
  <si>
    <t>S.ID- 00965</t>
  </si>
  <si>
    <t>S.ID- 00966</t>
  </si>
  <si>
    <t>S.ID- 00967</t>
  </si>
  <si>
    <t>S.ID- 00968</t>
  </si>
  <si>
    <t>S.ID- 00969</t>
  </si>
  <si>
    <t>S.ID- 00970</t>
  </si>
  <si>
    <t>S.ID- 00971</t>
  </si>
  <si>
    <t>S.ID- 00972</t>
  </si>
  <si>
    <t>S.ID- 00973</t>
  </si>
  <si>
    <t>S.ID- 00974</t>
  </si>
  <si>
    <t>S.ID- 00975</t>
  </si>
  <si>
    <t>S.ID- 00976</t>
  </si>
  <si>
    <t>S.ID- 00977</t>
  </si>
  <si>
    <t>S.ID- 00978</t>
  </si>
  <si>
    <t>S.ID- 00979</t>
  </si>
  <si>
    <t>S.ID- 00980</t>
  </si>
  <si>
    <t>S.ID- 00981</t>
  </si>
  <si>
    <t>S.ID- 00982</t>
  </si>
  <si>
    <t>S.ID- 00983</t>
  </si>
  <si>
    <t>S.ID- 00984</t>
  </si>
  <si>
    <t>S.ID- 00985</t>
  </si>
  <si>
    <t>S.ID- 00986</t>
  </si>
  <si>
    <t>S.ID- 00987</t>
  </si>
  <si>
    <t>S.ID- 00988</t>
  </si>
  <si>
    <t>S.ID- 00989</t>
  </si>
  <si>
    <t>S.ID- 00990</t>
  </si>
  <si>
    <t>S.ID- 00991</t>
  </si>
  <si>
    <t>S.ID- 00992</t>
  </si>
  <si>
    <t>S.ID- 00993</t>
  </si>
  <si>
    <t>S.ID- 00994</t>
  </si>
  <si>
    <t>S.ID- 00995</t>
  </si>
  <si>
    <t>S.ID- 00996</t>
  </si>
  <si>
    <t>S.ID- 00997</t>
  </si>
  <si>
    <t>S.ID- 00998</t>
  </si>
  <si>
    <t>S.ID- 00999</t>
  </si>
  <si>
    <t>S.ID- 01000</t>
  </si>
  <si>
    <t>minimum score</t>
  </si>
  <si>
    <t>Fail</t>
  </si>
  <si>
    <t>Low pass</t>
  </si>
  <si>
    <t>Average work</t>
  </si>
  <si>
    <t>Excellent work</t>
  </si>
  <si>
    <t>Good work</t>
  </si>
  <si>
    <t>performance</t>
  </si>
  <si>
    <t>Poor</t>
  </si>
  <si>
    <t>Needs improvements</t>
  </si>
  <si>
    <t>Satisfactory</t>
  </si>
  <si>
    <t xml:space="preserve">Good </t>
  </si>
  <si>
    <t>Outstanding</t>
  </si>
  <si>
    <t>total</t>
  </si>
  <si>
    <t>total no. of student</t>
  </si>
  <si>
    <t>pass</t>
  </si>
  <si>
    <t>fail</t>
  </si>
  <si>
    <t>`</t>
  </si>
  <si>
    <t>7**</t>
  </si>
  <si>
    <t>students that were not prepared but passed</t>
  </si>
  <si>
    <t>students that were prepare but failed</t>
  </si>
  <si>
    <t>students that were prepared but passed</t>
  </si>
  <si>
    <t>students that were not prepared but failed</t>
  </si>
  <si>
    <t>Passed</t>
  </si>
  <si>
    <t>math</t>
  </si>
  <si>
    <t>reading</t>
  </si>
  <si>
    <t>writing</t>
  </si>
  <si>
    <t>exam type</t>
  </si>
  <si>
    <t>No. of students that failed</t>
  </si>
  <si>
    <t>percentage</t>
  </si>
  <si>
    <t>WRITING:</t>
  </si>
  <si>
    <t>MATH:</t>
  </si>
  <si>
    <t>READING:</t>
  </si>
  <si>
    <t>STUDENT PERFORMANCE DATA</t>
  </si>
  <si>
    <t>failed atleast one exam</t>
  </si>
  <si>
    <t>average score of student</t>
  </si>
  <si>
    <t>level of education</t>
  </si>
  <si>
    <t>total number of failure</t>
  </si>
  <si>
    <t>total number of student</t>
  </si>
  <si>
    <t>male failed</t>
  </si>
  <si>
    <t>female fail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</si>
</sst>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33" borderId="10" xfId="0" applyFill="1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0" xfId="0" applyAlignment="1">
      <alignment horizontal="center"/>
    </xf>
    <xf numFmtId="9" fontId="0" fillId="0" borderId="10" xfId="42" applyFont="1" applyBorder="1"/>
    <xf numFmtId="0" fontId="13" fillId="33" borderId="10" xfId="0" applyFont="1" applyFill="1" applyBorder="1"/>
    <xf numFmtId="0" fontId="0" fillId="0" borderId="0" xfId="0" applyNumberFormat="1"/>
    <xf numFmtId="0" fontId="0" fillId="34" borderId="10" xfId="0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2" fontId="0" fillId="0" borderId="10" xfId="0" applyNumberFormat="1" applyBorder="1"/>
    <xf numFmtId="0" fontId="17" fillId="35" borderId="0" xfId="0" applyFont="1" applyFill="1" applyBorder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color theme="0"/>
      </font>
      <fill>
        <patternFill>
          <bgColor rgb="FF7AB751"/>
        </patternFill>
      </fill>
    </dxf>
    <dxf>
      <font>
        <b/>
        <i val="0"/>
        <color theme="0"/>
      </font>
      <fill>
        <patternFill>
          <bgColor rgb="FFEF7171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A0D7"/>
      <color rgb="FFC3E1B1"/>
      <color rgb="FFA6D08C"/>
      <color rgb="FFA8D18F"/>
      <color rgb="FF91C46E"/>
      <color rgb="FF85BD5F"/>
      <color rgb="FFFF3B3B"/>
      <color rgb="FFFF9595"/>
      <color rgb="FF7AB751"/>
      <color rgb="FFE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FAILURE</a:t>
            </a:r>
            <a:r>
              <a:rPr lang="en-US" b="1" baseline="0"/>
              <a:t> RATE BASED ON LEVEL OF EDUCATION</a:t>
            </a:r>
            <a:endParaRPr lang="en-US" b="1"/>
          </a:p>
        </c:rich>
      </c:tx>
      <c:layout>
        <c:manualLayout>
          <c:xMode val="edge"/>
          <c:yMode val="edge"/>
          <c:x val="0.13063088542559551"/>
          <c:y val="6.7927376171352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ANALYSIS!$A$21:$A$26</c:f>
              <c:strCache>
                <c:ptCount val="6"/>
                <c:pt idx="0">
                  <c:v>high school</c:v>
                </c:pt>
                <c:pt idx="1">
                  <c:v>some high school</c:v>
                </c:pt>
                <c:pt idx="2">
                  <c:v>associate's degree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bachelor's degree</c:v>
                </c:pt>
              </c:strCache>
            </c:strRef>
          </c:cat>
          <c:val>
            <c:numRef>
              <c:f>ANALYSIS!$B$21:$B$26</c:f>
              <c:numCache>
                <c:formatCode>General</c:formatCode>
                <c:ptCount val="6"/>
                <c:pt idx="0">
                  <c:v>10</c:v>
                </c:pt>
                <c:pt idx="1">
                  <c:v>21</c:v>
                </c:pt>
                <c:pt idx="2">
                  <c:v>55</c:v>
                </c:pt>
                <c:pt idx="3">
                  <c:v>59</c:v>
                </c:pt>
                <c:pt idx="4">
                  <c:v>64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B-488D-A1B0-DE314682D4C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6B-488D-A1B0-DE314682D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ANALYSIS!$A$21:$A$26</c:f>
              <c:strCache>
                <c:ptCount val="6"/>
                <c:pt idx="0">
                  <c:v>high school</c:v>
                </c:pt>
                <c:pt idx="1">
                  <c:v>some high school</c:v>
                </c:pt>
                <c:pt idx="2">
                  <c:v>associate's degree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bachelor's degree</c:v>
                </c:pt>
              </c:strCache>
            </c:strRef>
          </c:cat>
          <c:val>
            <c:numRef>
              <c:f>ANALYSIS!$C$21:$C$26</c:f>
              <c:numCache>
                <c:formatCode>0%</c:formatCode>
                <c:ptCount val="6"/>
                <c:pt idx="0">
                  <c:v>0.01</c:v>
                </c:pt>
                <c:pt idx="1">
                  <c:v>2.1000000000000001E-2</c:v>
                </c:pt>
                <c:pt idx="2">
                  <c:v>5.5E-2</c:v>
                </c:pt>
                <c:pt idx="3">
                  <c:v>5.8999999999999997E-2</c:v>
                </c:pt>
                <c:pt idx="4">
                  <c:v>6.4000000000000001E-2</c:v>
                </c:pt>
                <c:pt idx="5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B-488D-A1B0-DE314682D4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68624"/>
        <c:axId val="470163528"/>
      </c:barChart>
      <c:catAx>
        <c:axId val="47016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3528"/>
        <c:crosses val="autoZero"/>
        <c:auto val="1"/>
        <c:lblAlgn val="ctr"/>
        <c:lblOffset val="100"/>
        <c:noMultiLvlLbl val="0"/>
      </c:catAx>
      <c:valAx>
        <c:axId val="470163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86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How</a:t>
            </a:r>
            <a:r>
              <a:rPr lang="en-US" b="1" baseline="0"/>
              <a:t> many student passed?</a:t>
            </a:r>
            <a:endParaRPr lang="en-US" b="1"/>
          </a:p>
        </c:rich>
      </c:tx>
      <c:layout>
        <c:manualLayout>
          <c:xMode val="edge"/>
          <c:yMode val="edge"/>
          <c:x val="0.31610127813942662"/>
          <c:y val="6.4412238325281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D7-4F5C-8E43-253ECFF47E0D}"/>
              </c:ext>
            </c:extLst>
          </c:dPt>
          <c:dPt>
            <c:idx val="1"/>
            <c:bubble3D val="0"/>
            <c:spPr>
              <a:solidFill>
                <a:srgbClr val="FF3B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7-4F5C-8E43-253ECFF47E0D}"/>
              </c:ext>
            </c:extLst>
          </c:dPt>
          <c:dLbls>
            <c:dLbl>
              <c:idx val="0"/>
              <c:layout>
                <c:manualLayout>
                  <c:x val="-0.11996679548914653"/>
                  <c:y val="-0.1177345069127505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D7-4F5C-8E43-253ECFF47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ANALYSIS!$C$4:$C$5</c:f>
              <c:numCache>
                <c:formatCode>0%</c:formatCode>
                <c:ptCount val="2"/>
                <c:pt idx="0">
                  <c:v>0.71499999999999997</c:v>
                </c:pt>
                <c:pt idx="1">
                  <c:v>0.28499999999999998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D7-4F5C-8E43-253ECFF4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HOW</a:t>
            </a:r>
            <a:r>
              <a:rPr lang="en-US" b="1" baseline="0"/>
              <a:t> MANY STUDENT WERE PREPARED FOR THE EXAM?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ANALYSIS!$A$29:$A$32</c:f>
              <c:strCache>
                <c:ptCount val="4"/>
                <c:pt idx="0">
                  <c:v>students that were not prepared but passed</c:v>
                </c:pt>
                <c:pt idx="1">
                  <c:v>students that were prepared but passed</c:v>
                </c:pt>
                <c:pt idx="2">
                  <c:v>students that were not prepared but failed</c:v>
                </c:pt>
                <c:pt idx="3">
                  <c:v>students that were prepare but failed</c:v>
                </c:pt>
              </c:strCache>
            </c:strRef>
          </c:cat>
          <c:val>
            <c:numRef>
              <c:f>ANALYSIS!$B$29:$B$32</c:f>
              <c:numCache>
                <c:formatCode>General</c:formatCode>
                <c:ptCount val="4"/>
                <c:pt idx="0">
                  <c:v>417</c:v>
                </c:pt>
                <c:pt idx="1">
                  <c:v>298</c:v>
                </c:pt>
                <c:pt idx="2">
                  <c:v>225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7-4505-BDFB-3B24CE51B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63920"/>
        <c:axId val="470164312"/>
      </c:barChart>
      <c:catAx>
        <c:axId val="4701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4312"/>
        <c:crosses val="autoZero"/>
        <c:auto val="1"/>
        <c:lblAlgn val="ctr"/>
        <c:lblOffset val="100"/>
        <c:noMultiLvlLbl val="0"/>
      </c:catAx>
      <c:valAx>
        <c:axId val="470164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392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</a:t>
            </a:r>
            <a:r>
              <a:rPr lang="en-US" b="1" baseline="0"/>
              <a:t> FAILURE RATE BASED ON EXAM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ANALYSIS!$C$39</c:f>
              <c:strCache>
                <c:ptCount val="1"/>
                <c:pt idx="0">
                  <c:v>percentage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88888888888889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B1A006BA-24BC-324D-A98E-7066A1893CA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4AA2BDA-B7AF-304B-A72D-3F53589040F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461-4DFC-9356-387359499CB5}"/>
                </c:ext>
              </c:extLst>
            </c:dLbl>
            <c:dLbl>
              <c:idx val="1"/>
              <c:layout>
                <c:manualLayout>
                  <c:x val="-6.3888898711751241E-2"/>
                  <c:y val="-8.8557849246488296E-2"/>
                </c:manualLayout>
              </c:layout>
              <c:tx>
                <c:rich>
                  <a:bodyPr/>
                  <a:lstStyle/>
                  <a:p>
                    <a:fld id="{A0BEC913-A11A-F547-A260-64F7306D59FB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FDA223B-02BB-9244-9C09-9408A33F94B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461-4DFC-9356-387359499CB5}"/>
                </c:ext>
              </c:extLst>
            </c:dLbl>
            <c:dLbl>
              <c:idx val="2"/>
              <c:layout>
                <c:manualLayout>
                  <c:x val="-5.5555555555555558E-3"/>
                  <c:y val="-6.0185185185185182E-2"/>
                </c:manualLayout>
              </c:layout>
              <c:tx>
                <c:rich>
                  <a:bodyPr/>
                  <a:lstStyle/>
                  <a:p>
                    <a:fld id="{078F35F3-70EA-CD49-9C5D-13E1CADB09E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A315409-28EB-8447-9176-F6F49B7D3E7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461-4DFC-9356-387359499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12700" cap="flat" cmpd="sng" algn="ctr">
                      <a:solidFill>
                        <a:schemeClr val="accent6">
                          <a:lumMod val="50000"/>
                        </a:schemeClr>
                      </a:solidFill>
                      <a:round/>
                    </a:ln>
                    <a:effectLst>
                      <a:softEdge rad="0"/>
                    </a:effectLst>
                  </c:spPr>
                </c15:leaderLines>
              </c:ext>
            </c:extLst>
          </c:dLbls>
          <c:xVal>
            <c:numRef>
              <c:f>ANALYSIS!$B$40:$B$42</c:f>
              <c:numCache>
                <c:formatCode>General</c:formatCode>
                <c:ptCount val="3"/>
                <c:pt idx="0">
                  <c:v>323</c:v>
                </c:pt>
                <c:pt idx="1">
                  <c:v>254</c:v>
                </c:pt>
                <c:pt idx="2">
                  <c:v>281</c:v>
                </c:pt>
              </c:numCache>
            </c:numRef>
          </c:xVal>
          <c:yVal>
            <c:numRef>
              <c:f>ANALYSIS!$C$40:$C$42</c:f>
              <c:numCache>
                <c:formatCode>0%</c:formatCode>
                <c:ptCount val="3"/>
                <c:pt idx="0">
                  <c:v>0.32300000000000001</c:v>
                </c:pt>
                <c:pt idx="1">
                  <c:v>0.254</c:v>
                </c:pt>
                <c:pt idx="2">
                  <c:v>0.28100000000000003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ANALYSIS!$A$40:$A$42</c15:f>
                <c15:dlblRangeCache>
                  <c:ptCount val="3"/>
                  <c:pt idx="0">
                    <c:v>math</c:v>
                  </c:pt>
                  <c:pt idx="1">
                    <c:v>reading</c:v>
                  </c:pt>
                  <c:pt idx="2">
                    <c:v>writing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61-4DFC-9356-387359499C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0164704"/>
        <c:axId val="470169800"/>
      </c:scatterChart>
      <c:valAx>
        <c:axId val="470164704"/>
        <c:scaling>
          <c:orientation val="minMax"/>
          <c:max val="350"/>
          <c:min val="2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9800"/>
        <c:crosses val="autoZero"/>
        <c:crossBetween val="midCat"/>
        <c:majorUnit val="20"/>
      </c:valAx>
      <c:valAx>
        <c:axId val="470169800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64704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3168</xdr:colOff>
      <xdr:row>21</xdr:row>
      <xdr:rowOff>92409</xdr:rowOff>
    </xdr:from>
    <xdr:to>
      <xdr:col>18</xdr:col>
      <xdr:colOff>337585</xdr:colOff>
      <xdr:row>38</xdr:row>
      <xdr:rowOff>56744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459882</xdr:colOff>
      <xdr:row>8</xdr:row>
      <xdr:rowOff>16212</xdr:rowOff>
    </xdr:from>
    <xdr:to>
      <xdr:col>18</xdr:col>
      <xdr:colOff>394030</xdr:colOff>
      <xdr:row>22</xdr:row>
      <xdr:rowOff>120987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133714</xdr:colOff>
      <xdr:row>14</xdr:row>
      <xdr:rowOff>283</xdr:rowOff>
    </xdr:from>
    <xdr:to>
      <xdr:col>11</xdr:col>
      <xdr:colOff>86089</xdr:colOff>
      <xdr:row>20</xdr:row>
      <xdr:rowOff>156250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pSpPr/>
      </xdr:nvGrpSpPr>
      <xdr:grpSpPr>
        <a:xfrm>
          <a:off x="4455482" y="2619535"/>
          <a:ext cx="2421955" cy="1278503"/>
          <a:chOff x="4251757" y="1272986"/>
          <a:chExt cx="2384290" cy="1274648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4257756" y="1272986"/>
            <a:ext cx="2378291" cy="1274648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ANALYSIS!B4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4257756" y="1579204"/>
            <a:ext cx="2364956" cy="28907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7902EAC-86F8-4C06-BA1E-97D7D45BFDAD}" type="TxLink">
              <a:rPr lang="en-US" sz="24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715</a:t>
            </a:fld>
            <a:endParaRPr lang="en-US" sz="24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4265376" y="1272986"/>
            <a:ext cx="2364956" cy="260498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HOW</a:t>
            </a:r>
            <a:r>
              <a:rPr lang="en-US" sz="1100" b="1" baseline="0">
                <a:solidFill>
                  <a:schemeClr val="bg1"/>
                </a:solidFill>
              </a:rPr>
              <a:t> MANY STUDENT PASSED?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4251757" y="1868277"/>
            <a:ext cx="2363335" cy="247407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HOW</a:t>
            </a:r>
            <a:r>
              <a:rPr lang="en-US" sz="1100" b="1" baseline="0">
                <a:solidFill>
                  <a:schemeClr val="bg1"/>
                </a:solidFill>
              </a:rPr>
              <a:t> MANY STUDENT FAILED?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ANALYSIS!B5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4265376" y="2123305"/>
            <a:ext cx="2364956" cy="35003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6E420D3-48C8-455D-89FA-B3210AEC7A47}" type="TxLink">
              <a:rPr lang="en-US" sz="24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285</a:t>
            </a:fld>
            <a:endParaRPr lang="en-US" sz="2400"/>
          </a:p>
        </xdr:txBody>
      </xdr:sp>
      <xdr:sp macro="" textlink="ANALYSIS!D9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4303476" y="2302132"/>
            <a:ext cx="874679" cy="14756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DEE53C64-208F-43A0-9C77-1BCEECF173FF}" type="TxLink">
              <a:rPr lang="en-US" sz="10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Male: 161</a:t>
            </a:fld>
            <a:endParaRPr lang="en-US" sz="1000" b="1"/>
          </a:p>
        </xdr:txBody>
      </xdr:sp>
      <xdr:sp macro="" textlink="ANALYSIS!D10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5732794" y="2294512"/>
            <a:ext cx="889918" cy="13310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3DDE4FC-6C40-4374-BA2F-E5EADFBBA5A3}" type="TxLink">
              <a:rPr lang="en-US" sz="10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Female: 124</a:t>
            </a:fld>
            <a:endParaRPr lang="en-US" sz="1000" b="1"/>
          </a:p>
        </xdr:txBody>
      </xdr:sp>
    </xdr:grpSp>
    <xdr:clientData/>
  </xdr:twoCellAnchor>
  <xdr:twoCellAnchor>
    <xdr:from>
      <xdr:col>7</xdr:col>
      <xdr:colOff>131809</xdr:colOff>
      <xdr:row>8</xdr:row>
      <xdr:rowOff>87670</xdr:rowOff>
    </xdr:from>
    <xdr:to>
      <xdr:col>11</xdr:col>
      <xdr:colOff>86089</xdr:colOff>
      <xdr:row>13</xdr:row>
      <xdr:rowOff>125769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/>
      </xdr:nvGrpSpPr>
      <xdr:grpSpPr>
        <a:xfrm>
          <a:off x="4453577" y="1584386"/>
          <a:ext cx="2423860" cy="973547"/>
          <a:chOff x="4249852" y="241692"/>
          <a:chExt cx="2386195" cy="970334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4249852" y="241692"/>
            <a:ext cx="2386195" cy="970334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E21--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 txBox="1"/>
        </xdr:nvSpPr>
        <xdr:spPr>
          <a:xfrm>
            <a:off x="4255851" y="264552"/>
            <a:ext cx="2357336" cy="298598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TOTAL NUMBER OF STUDENT:</a:t>
            </a:r>
          </a:p>
        </xdr:txBody>
      </xdr:sp>
      <xdr:sp macro="" textlink="total_number_of_student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 txBox="1"/>
        </xdr:nvSpPr>
        <xdr:spPr>
          <a:xfrm>
            <a:off x="4263471" y="593630"/>
            <a:ext cx="2357336" cy="525051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638B3AA-A45A-4EDA-9125-042146C0ED23}" type="TxLink">
              <a:rPr lang="en-US" sz="36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1000</a:t>
            </a:fld>
            <a:endParaRPr lang="en-US" sz="3600"/>
          </a:p>
        </xdr:txBody>
      </xdr:sp>
    </xdr:grpSp>
    <xdr:clientData/>
  </xdr:twoCellAnchor>
  <xdr:twoCellAnchor>
    <xdr:from>
      <xdr:col>7</xdr:col>
      <xdr:colOff>151143</xdr:colOff>
      <xdr:row>21</xdr:row>
      <xdr:rowOff>41949</xdr:rowOff>
    </xdr:from>
    <xdr:to>
      <xdr:col>11</xdr:col>
      <xdr:colOff>72754</xdr:colOff>
      <xdr:row>30</xdr:row>
      <xdr:rowOff>118150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pSpPr/>
      </xdr:nvGrpSpPr>
      <xdr:grpSpPr>
        <a:xfrm>
          <a:off x="4472911" y="3970829"/>
          <a:ext cx="2391191" cy="1760005"/>
          <a:chOff x="4269186" y="2619780"/>
          <a:chExt cx="2353526" cy="1754222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4269186" y="2619780"/>
            <a:ext cx="2353526" cy="1754222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ANALYSIS!C13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4276807" y="2966246"/>
            <a:ext cx="2336381" cy="206632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936AC60-AD92-4999-A4FF-4DEB14E2C70A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bachelor's degree: 226</a:t>
            </a:fld>
            <a:endParaRPr lang="en-US" sz="1050"/>
          </a:p>
        </xdr:txBody>
      </xdr:sp>
      <xdr:sp macro="" textlink="ANALYSIS!C14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/>
        </xdr:nvSpPr>
        <xdr:spPr>
          <a:xfrm>
            <a:off x="4284426" y="3211506"/>
            <a:ext cx="2328761" cy="18644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18A2C34-B681-45B6-97D6-1A98C6AF00F1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some college: 222</a:t>
            </a:fld>
            <a:endParaRPr lang="en-US" sz="1050"/>
          </a:p>
        </xdr:txBody>
      </xdr:sp>
      <xdr:sp macro="" textlink="ANALYSIS!C15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4284426" y="3441768"/>
            <a:ext cx="2328761" cy="18644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5C428AA-F0F9-4344-B322-98F7F88E6E1D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master's degree: 196</a:t>
            </a:fld>
            <a:endParaRPr lang="en-US" sz="1050"/>
          </a:p>
        </xdr:txBody>
      </xdr:sp>
      <xdr:sp macro="" textlink="ANALYSIS!C16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4276806" y="3673934"/>
            <a:ext cx="2336691" cy="18644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87956EC-9F06-4140-9EE9-CFCA7B21AAEE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associate's degree: 179</a:t>
            </a:fld>
            <a:endParaRPr lang="en-US" sz="1050"/>
          </a:p>
        </xdr:txBody>
      </xdr:sp>
      <xdr:sp macro="" textlink="ANALYSIS!C17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>
            <a:off x="4276806" y="3898481"/>
            <a:ext cx="2336691" cy="16358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0A8898D-A847-4D01-AFB2-40F11C74DFFF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high school: 118</a:t>
            </a:fld>
            <a:endParaRPr lang="en-US" sz="1050"/>
          </a:p>
        </xdr:txBody>
      </xdr:sp>
      <xdr:sp macro="" textlink="ANALYSIS!C18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4284426" y="4111355"/>
            <a:ext cx="2328761" cy="224547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7C8E765-2567-4A89-B528-DDB1EFAB979E}" type="TxLink">
              <a:rPr lang="en-US" sz="105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some high school: 59</a:t>
            </a:fld>
            <a:endParaRPr lang="en-US" sz="105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4274900" y="2638831"/>
            <a:ext cx="2338287" cy="300746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 rtl="0"/>
            <a:r>
              <a:rPr lang="en-US" sz="9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LEVEL OF EDUCATION OF TOTAL STUDENT</a:t>
            </a:r>
            <a:endParaRPr lang="en-US" sz="700">
              <a:solidFill>
                <a:schemeClr val="bg1"/>
              </a:solidFill>
              <a:effectLst/>
            </a:endParaRPr>
          </a:p>
        </xdr:txBody>
      </xdr:sp>
    </xdr:grpSp>
    <xdr:clientData/>
  </xdr:twoCellAnchor>
  <xdr:twoCellAnchor>
    <xdr:from>
      <xdr:col>18</xdr:col>
      <xdr:colOff>338977</xdr:colOff>
      <xdr:row>8</xdr:row>
      <xdr:rowOff>64851</xdr:rowOff>
    </xdr:from>
    <xdr:to>
      <xdr:col>27</xdr:col>
      <xdr:colOff>566701</xdr:colOff>
      <xdr:row>24</xdr:row>
      <xdr:rowOff>178712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330218</xdr:colOff>
      <xdr:row>25</xdr:row>
      <xdr:rowOff>82368</xdr:rowOff>
    </xdr:from>
    <xdr:to>
      <xdr:col>27</xdr:col>
      <xdr:colOff>514149</xdr:colOff>
      <xdr:row>39</xdr:row>
      <xdr:rowOff>44818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164084</xdr:colOff>
      <xdr:row>31</xdr:row>
      <xdr:rowOff>12391</xdr:rowOff>
    </xdr:from>
    <xdr:to>
      <xdr:col>11</xdr:col>
      <xdr:colOff>72864</xdr:colOff>
      <xdr:row>38</xdr:row>
      <xdr:rowOff>39263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pSpPr/>
      </xdr:nvGrpSpPr>
      <xdr:grpSpPr>
        <a:xfrm>
          <a:off x="4485852" y="5812167"/>
          <a:ext cx="2378360" cy="1336496"/>
          <a:chOff x="4282127" y="4454690"/>
          <a:chExt cx="2340695" cy="1039853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>
          <a:xfrm>
            <a:off x="4282127" y="4454690"/>
            <a:ext cx="2340695" cy="1039853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ANALYSIS!A35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4290886" y="4713721"/>
            <a:ext cx="2323176" cy="230240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9B6C1CA-1EA5-4BFA-9C11-BA9DF5371D12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MATH:</a:t>
            </a:fld>
            <a:endParaRPr lang="en-US" sz="1100" b="1"/>
          </a:p>
        </xdr:txBody>
      </xdr:sp>
      <xdr:sp macro="" textlink="ANALYSIS!A36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 txBox="1"/>
        </xdr:nvSpPr>
        <xdr:spPr>
          <a:xfrm>
            <a:off x="4290886" y="4978995"/>
            <a:ext cx="2323178" cy="25027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A6D8CFD-5A37-44DC-B615-461564EA69B9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WRITING:</a:t>
            </a:fld>
            <a:endParaRPr lang="en-US" sz="1100" b="1"/>
          </a:p>
        </xdr:txBody>
      </xdr:sp>
      <xdr:sp macro="" textlink="ANALYSIS!A37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 txBox="1"/>
        </xdr:nvSpPr>
        <xdr:spPr>
          <a:xfrm>
            <a:off x="4290886" y="5264304"/>
            <a:ext cx="2314419" cy="212721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0B9657C-4EB7-4F4D-B067-661118FFD610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READING:</a:t>
            </a:fld>
            <a:endParaRPr lang="en-US" sz="1100" b="1"/>
          </a:p>
        </xdr:txBody>
      </xdr:sp>
      <xdr:sp macro="" textlink="ANALYSIS!B35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4807645" y="4722480"/>
            <a:ext cx="734233" cy="18251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4C9EE54-8BE4-45EC-A9E4-BC51C684D0CC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66.09</a:t>
            </a:fld>
            <a:endParaRPr lang="en-US" sz="1100" b="1"/>
          </a:p>
        </xdr:txBody>
      </xdr:sp>
      <xdr:sp macro="" textlink="ANALYSIS!B36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 txBox="1"/>
        </xdr:nvSpPr>
        <xdr:spPr>
          <a:xfrm>
            <a:off x="4951416" y="4978997"/>
            <a:ext cx="606876" cy="22931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0F69C97-9614-4704-991D-7C8A492DA864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69.17</a:t>
            </a:fld>
            <a:endParaRPr lang="en-US" sz="1100" b="1"/>
          </a:p>
        </xdr:txBody>
      </xdr:sp>
      <xdr:sp macro="" textlink="ANALYSIS!B37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 txBox="1"/>
        </xdr:nvSpPr>
        <xdr:spPr>
          <a:xfrm>
            <a:off x="4951415" y="5273062"/>
            <a:ext cx="739358" cy="18251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6587661-AE74-4F2D-8B49-BD9DD5AA089E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l"/>
              <a:t>68.05</a:t>
            </a:fld>
            <a:endParaRPr lang="en-US" sz="1100" b="1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4282127" y="4472207"/>
            <a:ext cx="2331936" cy="203031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1">
                <a:solidFill>
                  <a:schemeClr val="bg1"/>
                </a:solidFill>
              </a:rPr>
              <a:t>WHAT</a:t>
            </a:r>
            <a:r>
              <a:rPr lang="en-US" sz="800" b="1" baseline="0">
                <a:solidFill>
                  <a:schemeClr val="bg1"/>
                </a:solidFill>
              </a:rPr>
              <a:t> ARE THE AVERAGE SCORE OF STUDENTS?</a:t>
            </a:r>
            <a:endParaRPr lang="en-US" sz="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348575</xdr:colOff>
      <xdr:row>0</xdr:row>
      <xdr:rowOff>0</xdr:rowOff>
    </xdr:from>
    <xdr:to>
      <xdr:col>9</xdr:col>
      <xdr:colOff>47017</xdr:colOff>
      <xdr:row>4</xdr:row>
      <xdr:rowOff>168613</xdr:rowOff>
    </xdr:to>
    <xdr:sp macro="" textlink="">
      <xdr:nvSpPr>
        <xdr:cNvPr id="38" name="Plus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4604426" y="0"/>
          <a:ext cx="914400" cy="914400"/>
        </a:xfrm>
        <a:prstGeom prst="mathPlus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40532</xdr:colOff>
      <xdr:row>2</xdr:row>
      <xdr:rowOff>113489</xdr:rowOff>
    </xdr:from>
    <xdr:to>
      <xdr:col>27</xdr:col>
      <xdr:colOff>346953</xdr:colOff>
      <xdr:row>7</xdr:row>
      <xdr:rowOff>95655</xdr:rowOff>
    </xdr:to>
    <xdr:sp macro="" textlink="">
      <xdr:nvSpPr>
        <xdr:cNvPr id="39" name="Multiply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5847979" y="486383"/>
          <a:ext cx="914400" cy="914400"/>
        </a:xfrm>
        <a:prstGeom prst="mathMultiply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453957</xdr:colOff>
      <xdr:row>3</xdr:row>
      <xdr:rowOff>97277</xdr:rowOff>
    </xdr:from>
    <xdr:to>
      <xdr:col>14</xdr:col>
      <xdr:colOff>152400</xdr:colOff>
      <xdr:row>8</xdr:row>
      <xdr:rowOff>79443</xdr:rowOff>
    </xdr:to>
    <xdr:sp macro="" textlink="">
      <xdr:nvSpPr>
        <xdr:cNvPr id="40" name="Division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7749702" y="656617"/>
          <a:ext cx="914400" cy="914400"/>
        </a:xfrm>
        <a:prstGeom prst="mathDivid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356681</xdr:colOff>
      <xdr:row>0</xdr:row>
      <xdr:rowOff>0</xdr:rowOff>
    </xdr:from>
    <xdr:to>
      <xdr:col>19</xdr:col>
      <xdr:colOff>55123</xdr:colOff>
      <xdr:row>3</xdr:row>
      <xdr:rowOff>97277</xdr:rowOff>
    </xdr:to>
    <xdr:sp macro="" textlink="">
      <xdr:nvSpPr>
        <xdr:cNvPr id="41" name="Equal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0692319" y="0"/>
          <a:ext cx="914400" cy="656617"/>
        </a:xfrm>
        <a:prstGeom prst="mathEqual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002" totalsRowCount="1">
  <tableColumns count="15">
    <tableColumn id="1" xr3:uid="{00000000-0010-0000-0000-000001000000}" name="gender"/>
    <tableColumn id="2" xr3:uid="{00000000-0010-0000-0000-000002000000}" name="race/ethnicity"/>
    <tableColumn id="3" xr3:uid="{00000000-0010-0000-0000-000003000000}" name="parental level of education"/>
    <tableColumn id="4" xr3:uid="{00000000-0010-0000-0000-000004000000}" name="lunch"/>
    <tableColumn id="5" xr3:uid="{00000000-0010-0000-0000-000005000000}" name="test preparation course"/>
    <tableColumn id="6" xr3:uid="{00000000-0010-0000-0000-000006000000}" name="math score"/>
    <tableColumn id="7" xr3:uid="{00000000-0010-0000-0000-000007000000}" name="reading score"/>
    <tableColumn id="8" xr3:uid="{00000000-0010-0000-0000-000008000000}" name="writing score"/>
    <tableColumn id="9" xr3:uid="{00000000-0010-0000-0000-000009000000}" name="student id"/>
    <tableColumn id="12" xr3:uid="{00000000-0010-0000-0000-00000C000000}" name="total score" dataDxfId="13" totalsRowDxfId="12">
      <calculatedColumnFormula>SUM(Table1[[#This Row],[math score]:[writing score]])</calculatedColumnFormula>
    </tableColumn>
    <tableColumn id="11" xr3:uid="{00000000-0010-0000-0000-00000B000000}" name="average score" totalsRowFunction="count" dataDxfId="11" totalsRowDxfId="10">
      <calculatedColumnFormula>Table1[[#This Row],[total score]]/3</calculatedColumnFormula>
    </tableColumn>
    <tableColumn id="10" xr3:uid="{00000000-0010-0000-0000-00000A000000}" name="grade" dataDxfId="9" totalsRowDxfId="8">
      <calculatedColumnFormula>VLOOKUP(Table1[[#This Row],[average score]],$AE$9:$AF$13,2,TRUE)</calculatedColumnFormula>
    </tableColumn>
    <tableColumn id="13" xr3:uid="{00000000-0010-0000-0000-00000D000000}" name="pass/fail" dataDxfId="7" totalsRowDxfId="6">
      <calculatedColumnFormula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calculatedColumnFormula>
    </tableColumn>
    <tableColumn id="15" xr3:uid="{00000000-0010-0000-0000-00000F000000}" name="failed atleast one exam" dataDxfId="5" totalsRowDxfId="4">
      <calculatedColumnFormula>IF(OR(Table1[[#This Row],[math score]]&lt;$AC$5,Table1[[#This Row],[reading score]]&lt;$AC$5,Table1[[#This Row],[writing score]]&lt;$AC$5), "Failed atleast one", "Passed all")</calculatedColumnFormula>
    </tableColumn>
    <tableColumn id="14" xr3:uid="{00000000-0010-0000-0000-00000E000000}" name="performance level" dataDxfId="3" totalsRowDxfId="2">
      <calculatedColumnFormula>VLOOKUP(Table1[[#This Row],[average score]],$AE$9:$AG$13,3,TRUE)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M19" sqref="M19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2"/>
  <sheetViews>
    <sheetView tabSelected="1" zoomScale="81" zoomScaleNormal="81" workbookViewId="0">
      <selection activeCell="P33" sqref="P33"/>
    </sheetView>
  </sheetViews>
  <sheetFormatPr defaultRowHeight="15" x14ac:dyDescent="0.2"/>
  <cols>
    <col min="1" max="1" width="8.7421875" customWidth="1"/>
    <col min="2" max="2" width="14.66015625" customWidth="1"/>
    <col min="3" max="3" width="25.2890625" customWidth="1"/>
    <col min="4" max="4" width="11.703125" hidden="1" customWidth="1"/>
    <col min="5" max="5" width="22.328125" customWidth="1"/>
    <col min="6" max="6" width="12.23828125" customWidth="1"/>
    <col min="7" max="7" width="14.125" customWidth="1"/>
    <col min="8" max="8" width="13.5859375" customWidth="1"/>
    <col min="9" max="9" width="11.703125" hidden="1" customWidth="1"/>
    <col min="10" max="10" width="14.66015625" customWidth="1"/>
    <col min="11" max="11" width="14.66015625" hidden="1" customWidth="1"/>
    <col min="12" max="12" width="9.14453125" hidden="1" customWidth="1"/>
    <col min="13" max="13" width="14.2578125" bestFit="1" customWidth="1"/>
    <col min="14" max="14" width="22.1953125" hidden="1" customWidth="1"/>
    <col min="15" max="15" width="22.05859375" bestFit="1" customWidth="1"/>
    <col min="16" max="16" width="10.22265625" bestFit="1" customWidth="1"/>
    <col min="17" max="18" width="9.14453125" customWidth="1"/>
    <col min="19" max="19" width="19.234375" customWidth="1"/>
    <col min="20" max="20" width="15.6015625" customWidth="1"/>
    <col min="21" max="21" width="11.97265625" customWidth="1"/>
    <col min="22" max="25" width="11.97265625" bestFit="1" customWidth="1"/>
    <col min="29" max="29" width="13.5859375" hidden="1" customWidth="1"/>
    <col min="30" max="30" width="5.51171875" hidden="1" customWidth="1"/>
    <col min="31" max="34" width="18.6953125" hidden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28</v>
      </c>
      <c r="K1" t="s">
        <v>27</v>
      </c>
      <c r="L1" t="s">
        <v>26</v>
      </c>
      <c r="M1" t="s">
        <v>29</v>
      </c>
      <c r="N1" t="s">
        <v>1069</v>
      </c>
      <c r="O1" t="s">
        <v>30</v>
      </c>
    </row>
    <row r="2" spans="1:34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t="s">
        <v>36</v>
      </c>
      <c r="J2">
        <f>SUM(Table1[[#This Row],[math score]:[writing score]])</f>
        <v>218</v>
      </c>
      <c r="K2" s="1">
        <f>Table1[[#This Row],[total score]]/3</f>
        <v>72.666666666666671</v>
      </c>
      <c r="L2" s="6" t="str">
        <f>VLOOKUP(Table1[[#This Row],[average score]],$AE$9:$AF$13,2,TRUE)</f>
        <v>C</v>
      </c>
      <c r="M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" s="2" t="str">
        <f>IF(OR(Table1[[#This Row],[math score]]&lt;$AC$5,Table1[[#This Row],[reading score]]&lt;$AC$5,Table1[[#This Row],[writing score]]&lt;$AC$5), "Failed atleast one", "Passed all")</f>
        <v>Passed all</v>
      </c>
      <c r="O2" t="str">
        <f>VLOOKUP(Table1[[#This Row],[average score]],$AE$9:$AG$13,3,TRUE)</f>
        <v>Satisfactory</v>
      </c>
    </row>
    <row r="3" spans="1:34" x14ac:dyDescent="0.2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t="s">
        <v>37</v>
      </c>
      <c r="J3">
        <f>SUM(Table1[[#This Row],[math score]:[writing score]])</f>
        <v>247</v>
      </c>
      <c r="K3" s="1">
        <f>Table1[[#This Row],[total score]]/3</f>
        <v>82.333333333333329</v>
      </c>
      <c r="L3" s="6" t="str">
        <f>VLOOKUP(Table1[[#This Row],[average score]],$AE$9:$AF$13,2,TRUE)</f>
        <v>B</v>
      </c>
      <c r="M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" s="2" t="str">
        <f>IF(OR(Table1[[#This Row],[math score]]&lt;$AC$5,Table1[[#This Row],[reading score]]&lt;$AC$5,Table1[[#This Row],[writing score]]&lt;$AC$5), "Failed atleast one", "Passed all")</f>
        <v>Passed all</v>
      </c>
      <c r="O3" t="str">
        <f>VLOOKUP(Table1[[#This Row],[average score]],$AE$9:$AG$13,3,TRUE)</f>
        <v xml:space="preserve">Good </v>
      </c>
      <c r="AC3" s="3" t="s">
        <v>1036</v>
      </c>
      <c r="AD3" s="3" t="s">
        <v>26</v>
      </c>
    </row>
    <row r="4" spans="1:34" x14ac:dyDescent="0.2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t="s">
        <v>38</v>
      </c>
      <c r="J4">
        <f>SUM(Table1[[#This Row],[math score]:[writing score]])</f>
        <v>278</v>
      </c>
      <c r="K4" s="1">
        <f>Table1[[#This Row],[total score]]/3</f>
        <v>92.666666666666671</v>
      </c>
      <c r="L4" s="6" t="str">
        <f>VLOOKUP(Table1[[#This Row],[average score]],$AE$9:$AF$13,2,TRUE)</f>
        <v>A</v>
      </c>
      <c r="M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4" s="2" t="str">
        <f>IF(OR(Table1[[#This Row],[math score]]&lt;$AC$5,Table1[[#This Row],[reading score]]&lt;$AC$5,Table1[[#This Row],[writing score]]&lt;$AC$5), "Failed atleast one", "Passed all")</f>
        <v>Passed all</v>
      </c>
      <c r="O4" t="str">
        <f>VLOOKUP(Table1[[#This Row],[average score]],$AE$9:$AG$13,3,TRUE)</f>
        <v>Outstanding</v>
      </c>
      <c r="AC4" s="4">
        <v>0</v>
      </c>
      <c r="AD4" s="5" t="s">
        <v>35</v>
      </c>
    </row>
    <row r="5" spans="1:34" x14ac:dyDescent="0.2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t="s">
        <v>39</v>
      </c>
      <c r="J5">
        <f>SUM(Table1[[#This Row],[math score]:[writing score]])</f>
        <v>148</v>
      </c>
      <c r="K5" s="1">
        <f>Table1[[#This Row],[total score]]/3</f>
        <v>49.333333333333336</v>
      </c>
      <c r="L5" s="6" t="str">
        <f>VLOOKUP(Table1[[#This Row],[average score]],$AE$9:$AF$13,2,TRUE)</f>
        <v>F</v>
      </c>
      <c r="M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" s="2" t="str">
        <f>IF(OR(Table1[[#This Row],[math score]]&lt;$AC$5,Table1[[#This Row],[reading score]]&lt;$AC$5,Table1[[#This Row],[writing score]]&lt;$AC$5), "Failed atleast one", "Passed all")</f>
        <v>Failed atleast one</v>
      </c>
      <c r="O5" t="str">
        <f>VLOOKUP(Table1[[#This Row],[average score]],$AE$9:$AG$13,3,TRUE)</f>
        <v>Poor</v>
      </c>
      <c r="AC5" s="4">
        <v>60</v>
      </c>
      <c r="AD5" s="5" t="s">
        <v>34</v>
      </c>
    </row>
    <row r="6" spans="1:34" x14ac:dyDescent="0.2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t="s">
        <v>40</v>
      </c>
      <c r="J6">
        <f>SUM(Table1[[#This Row],[math score]:[writing score]])</f>
        <v>229</v>
      </c>
      <c r="K6" s="1">
        <f>Table1[[#This Row],[total score]]/3</f>
        <v>76.333333333333329</v>
      </c>
      <c r="L6" s="6" t="str">
        <f>VLOOKUP(Table1[[#This Row],[average score]],$AE$9:$AF$13,2,TRUE)</f>
        <v>C</v>
      </c>
      <c r="M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" s="2" t="str">
        <f>IF(OR(Table1[[#This Row],[math score]]&lt;$AC$5,Table1[[#This Row],[reading score]]&lt;$AC$5,Table1[[#This Row],[writing score]]&lt;$AC$5), "Failed atleast one", "Passed all")</f>
        <v>Passed all</v>
      </c>
      <c r="O6" t="str">
        <f>VLOOKUP(Table1[[#This Row],[average score]],$AE$9:$AG$13,3,TRUE)</f>
        <v>Satisfactory</v>
      </c>
      <c r="AC6" s="4">
        <v>70</v>
      </c>
      <c r="AD6" s="5" t="s">
        <v>33</v>
      </c>
    </row>
    <row r="7" spans="1:34" x14ac:dyDescent="0.2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t="s">
        <v>41</v>
      </c>
      <c r="J7">
        <f>SUM(Table1[[#This Row],[math score]:[writing score]])</f>
        <v>232</v>
      </c>
      <c r="K7" s="1">
        <f>Table1[[#This Row],[total score]]/3</f>
        <v>77.333333333333329</v>
      </c>
      <c r="L7" s="6" t="str">
        <f>VLOOKUP(Table1[[#This Row],[average score]],$AE$9:$AF$13,2,TRUE)</f>
        <v>C</v>
      </c>
      <c r="M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" s="2" t="str">
        <f>IF(OR(Table1[[#This Row],[math score]]&lt;$AC$5,Table1[[#This Row],[reading score]]&lt;$AC$5,Table1[[#This Row],[writing score]]&lt;$AC$5), "Failed atleast one", "Passed all")</f>
        <v>Passed all</v>
      </c>
      <c r="O7" t="str">
        <f>VLOOKUP(Table1[[#This Row],[average score]],$AE$9:$AG$13,3,TRUE)</f>
        <v>Satisfactory</v>
      </c>
      <c r="AC7" s="4">
        <v>80</v>
      </c>
      <c r="AD7" s="5" t="s">
        <v>32</v>
      </c>
    </row>
    <row r="8" spans="1:34" x14ac:dyDescent="0.2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t="s">
        <v>42</v>
      </c>
      <c r="J8">
        <f>SUM(Table1[[#This Row],[math score]:[writing score]])</f>
        <v>275</v>
      </c>
      <c r="K8" s="1">
        <f>Table1[[#This Row],[total score]]/3</f>
        <v>91.666666666666671</v>
      </c>
      <c r="L8" s="6" t="str">
        <f>VLOOKUP(Table1[[#This Row],[average score]],$AE$9:$AF$13,2,TRUE)</f>
        <v>A</v>
      </c>
      <c r="M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8" s="2" t="str">
        <f>IF(OR(Table1[[#This Row],[math score]]&lt;$AC$5,Table1[[#This Row],[reading score]]&lt;$AC$5,Table1[[#This Row],[writing score]]&lt;$AC$5), "Failed atleast one", "Passed all")</f>
        <v>Passed all</v>
      </c>
      <c r="O8" t="str">
        <f>VLOOKUP(Table1[[#This Row],[average score]],$AE$9:$AG$13,3,TRUE)</f>
        <v>Outstanding</v>
      </c>
      <c r="AC8" s="4">
        <v>90</v>
      </c>
      <c r="AD8" s="5" t="s">
        <v>31</v>
      </c>
      <c r="AE8" s="3" t="s">
        <v>1036</v>
      </c>
      <c r="AF8" s="3" t="s">
        <v>26</v>
      </c>
      <c r="AG8" s="3" t="s">
        <v>1042</v>
      </c>
      <c r="AH8" s="3"/>
    </row>
    <row r="9" spans="1:34" x14ac:dyDescent="0.2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t="s">
        <v>43</v>
      </c>
      <c r="J9">
        <f>SUM(Table1[[#This Row],[math score]:[writing score]])</f>
        <v>122</v>
      </c>
      <c r="K9" s="1">
        <f>Table1[[#This Row],[total score]]/3</f>
        <v>40.666666666666664</v>
      </c>
      <c r="L9" s="6" t="str">
        <f>VLOOKUP(Table1[[#This Row],[average score]],$AE$9:$AF$13,2,TRUE)</f>
        <v>F</v>
      </c>
      <c r="M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" s="2" t="str">
        <f>IF(OR(Table1[[#This Row],[math score]]&lt;$AC$5,Table1[[#This Row],[reading score]]&lt;$AC$5,Table1[[#This Row],[writing score]]&lt;$AC$5), "Failed atleast one", "Passed all")</f>
        <v>Failed atleast one</v>
      </c>
      <c r="O9" t="str">
        <f>VLOOKUP(Table1[[#This Row],[average score]],$AE$9:$AG$13,3,TRUE)</f>
        <v>Poor</v>
      </c>
      <c r="AE9" s="4">
        <v>0</v>
      </c>
      <c r="AF9" s="5" t="s">
        <v>35</v>
      </c>
      <c r="AG9" s="4" t="s">
        <v>1043</v>
      </c>
      <c r="AH9" s="5" t="s">
        <v>1037</v>
      </c>
    </row>
    <row r="10" spans="1:34" x14ac:dyDescent="0.2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t="s">
        <v>44</v>
      </c>
      <c r="J10">
        <f>SUM(Table1[[#This Row],[math score]:[writing score]])</f>
        <v>195</v>
      </c>
      <c r="K10" s="1">
        <f>Table1[[#This Row],[total score]]/3</f>
        <v>65</v>
      </c>
      <c r="L10" s="6" t="str">
        <f>VLOOKUP(Table1[[#This Row],[average score]],$AE$9:$AF$13,2,TRUE)</f>
        <v>D</v>
      </c>
      <c r="M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0" s="2" t="str">
        <f>IF(OR(Table1[[#This Row],[math score]]&lt;$AC$5,Table1[[#This Row],[reading score]]&lt;$AC$5,Table1[[#This Row],[writing score]]&lt;$AC$5), "Failed atleast one", "Passed all")</f>
        <v>Passed all</v>
      </c>
      <c r="O10" t="str">
        <f>VLOOKUP(Table1[[#This Row],[average score]],$AE$9:$AG$13,3,TRUE)</f>
        <v>Needs improvements</v>
      </c>
      <c r="AE10" s="4">
        <v>60</v>
      </c>
      <c r="AF10" s="5" t="s">
        <v>34</v>
      </c>
      <c r="AG10" s="4" t="s">
        <v>1044</v>
      </c>
      <c r="AH10" s="5" t="s">
        <v>1038</v>
      </c>
    </row>
    <row r="11" spans="1:34" x14ac:dyDescent="0.2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t="s">
        <v>45</v>
      </c>
      <c r="J11">
        <f>SUM(Table1[[#This Row],[math score]:[writing score]])</f>
        <v>148</v>
      </c>
      <c r="K11" s="1">
        <f>Table1[[#This Row],[total score]]/3</f>
        <v>49.333333333333336</v>
      </c>
      <c r="L11" s="6" t="str">
        <f>VLOOKUP(Table1[[#This Row],[average score]],$AE$9:$AF$13,2,TRUE)</f>
        <v>F</v>
      </c>
      <c r="M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1" s="2" t="str">
        <f>IF(OR(Table1[[#This Row],[math score]]&lt;$AC$5,Table1[[#This Row],[reading score]]&lt;$AC$5,Table1[[#This Row],[writing score]]&lt;$AC$5), "Failed atleast one", "Passed all")</f>
        <v>Failed atleast one</v>
      </c>
      <c r="O11" t="str">
        <f>VLOOKUP(Table1[[#This Row],[average score]],$AE$9:$AG$13,3,TRUE)</f>
        <v>Poor</v>
      </c>
      <c r="AE11" s="4">
        <v>70</v>
      </c>
      <c r="AF11" s="5" t="s">
        <v>33</v>
      </c>
      <c r="AG11" s="4" t="s">
        <v>1045</v>
      </c>
      <c r="AH11" s="5" t="s">
        <v>1039</v>
      </c>
    </row>
    <row r="12" spans="1:34" x14ac:dyDescent="0.2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t="s">
        <v>46</v>
      </c>
      <c r="J12">
        <f>SUM(Table1[[#This Row],[math score]:[writing score]])</f>
        <v>164</v>
      </c>
      <c r="K12" s="1">
        <f>Table1[[#This Row],[total score]]/3</f>
        <v>54.666666666666664</v>
      </c>
      <c r="L12" s="6" t="str">
        <f>VLOOKUP(Table1[[#This Row],[average score]],$AE$9:$AF$13,2,TRUE)</f>
        <v>F</v>
      </c>
      <c r="M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2" s="2" t="str">
        <f>IF(OR(Table1[[#This Row],[math score]]&lt;$AC$5,Table1[[#This Row],[reading score]]&lt;$AC$5,Table1[[#This Row],[writing score]]&lt;$AC$5), "Failed atleast one", "Passed all")</f>
        <v>Failed atleast one</v>
      </c>
      <c r="O12" t="str">
        <f>VLOOKUP(Table1[[#This Row],[average score]],$AE$9:$AG$13,3,TRUE)</f>
        <v>Poor</v>
      </c>
      <c r="AE12" s="4">
        <v>80</v>
      </c>
      <c r="AF12" s="5" t="s">
        <v>32</v>
      </c>
      <c r="AG12" s="4" t="s">
        <v>1046</v>
      </c>
      <c r="AH12" s="5" t="s">
        <v>1041</v>
      </c>
    </row>
    <row r="13" spans="1:34" x14ac:dyDescent="0.2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t="s">
        <v>47</v>
      </c>
      <c r="J13">
        <f>SUM(Table1[[#This Row],[math score]:[writing score]])</f>
        <v>135</v>
      </c>
      <c r="K13" s="1">
        <f>Table1[[#This Row],[total score]]/3</f>
        <v>45</v>
      </c>
      <c r="L13" s="6" t="str">
        <f>VLOOKUP(Table1[[#This Row],[average score]],$AE$9:$AF$13,2,TRUE)</f>
        <v>F</v>
      </c>
      <c r="M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3" s="2" t="str">
        <f>IF(OR(Table1[[#This Row],[math score]]&lt;$AC$5,Table1[[#This Row],[reading score]]&lt;$AC$5,Table1[[#This Row],[writing score]]&lt;$AC$5), "Failed atleast one", "Passed all")</f>
        <v>Failed atleast one</v>
      </c>
      <c r="O13" t="str">
        <f>VLOOKUP(Table1[[#This Row],[average score]],$AE$9:$AG$13,3,TRUE)</f>
        <v>Poor</v>
      </c>
      <c r="AE13" s="4">
        <v>90</v>
      </c>
      <c r="AF13" s="5" t="s">
        <v>31</v>
      </c>
      <c r="AG13" s="4" t="s">
        <v>1047</v>
      </c>
      <c r="AH13" s="5" t="s">
        <v>1040</v>
      </c>
    </row>
    <row r="14" spans="1:34" x14ac:dyDescent="0.2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t="s">
        <v>48</v>
      </c>
      <c r="J14">
        <f>SUM(Table1[[#This Row],[math score]:[writing score]])</f>
        <v>219</v>
      </c>
      <c r="K14" s="1">
        <f>Table1[[#This Row],[total score]]/3</f>
        <v>73</v>
      </c>
      <c r="L14" s="6" t="str">
        <f>VLOOKUP(Table1[[#This Row],[average score]],$AE$9:$AF$13,2,TRUE)</f>
        <v>C</v>
      </c>
      <c r="M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4" s="2" t="str">
        <f>IF(OR(Table1[[#This Row],[math score]]&lt;$AC$5,Table1[[#This Row],[reading score]]&lt;$AC$5,Table1[[#This Row],[writing score]]&lt;$AC$5), "Failed atleast one", "Passed all")</f>
        <v>Passed all</v>
      </c>
      <c r="O14" t="str">
        <f>VLOOKUP(Table1[[#This Row],[average score]],$AE$9:$AG$13,3,TRUE)</f>
        <v>Satisfactory</v>
      </c>
    </row>
    <row r="15" spans="1:34" x14ac:dyDescent="0.2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t="s">
        <v>49</v>
      </c>
      <c r="J15">
        <f>SUM(Table1[[#This Row],[math score]:[writing score]])</f>
        <v>220</v>
      </c>
      <c r="K15" s="1">
        <f>Table1[[#This Row],[total score]]/3</f>
        <v>73.333333333333329</v>
      </c>
      <c r="L15" s="6" t="str">
        <f>VLOOKUP(Table1[[#This Row],[average score]],$AE$9:$AF$13,2,TRUE)</f>
        <v>C</v>
      </c>
      <c r="M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5" s="2" t="str">
        <f>IF(OR(Table1[[#This Row],[math score]]&lt;$AC$5,Table1[[#This Row],[reading score]]&lt;$AC$5,Table1[[#This Row],[writing score]]&lt;$AC$5), "Failed atleast one", "Passed all")</f>
        <v>Passed all</v>
      </c>
      <c r="O15" t="str">
        <f>VLOOKUP(Table1[[#This Row],[average score]],$AE$9:$AG$13,3,TRUE)</f>
        <v>Satisfactory</v>
      </c>
      <c r="S15" s="2"/>
      <c r="T15" s="9"/>
      <c r="U15" s="9"/>
      <c r="AE15" s="8" t="s">
        <v>8</v>
      </c>
      <c r="AF15" s="5">
        <f>COUNTIF(Table1[gender],AE15)</f>
        <v>518</v>
      </c>
      <c r="AG15" s="7">
        <f>AF15/$AF$17</f>
        <v>0.51800000000000002</v>
      </c>
    </row>
    <row r="16" spans="1:34" x14ac:dyDescent="0.2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t="s">
        <v>50</v>
      </c>
      <c r="J16">
        <f>SUM(Table1[[#This Row],[math score]:[writing score]])</f>
        <v>161</v>
      </c>
      <c r="K16" s="1">
        <f>Table1[[#This Row],[total score]]/3</f>
        <v>53.666666666666664</v>
      </c>
      <c r="L16" s="6" t="str">
        <f>VLOOKUP(Table1[[#This Row],[average score]],$AE$9:$AF$13,2,TRUE)</f>
        <v>F</v>
      </c>
      <c r="M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6" s="2" t="str">
        <f>IF(OR(Table1[[#This Row],[math score]]&lt;$AC$5,Table1[[#This Row],[reading score]]&lt;$AC$5,Table1[[#This Row],[writing score]]&lt;$AC$5), "Failed atleast one", "Passed all")</f>
        <v>Failed atleast one</v>
      </c>
      <c r="O16" t="str">
        <f>VLOOKUP(Table1[[#This Row],[average score]],$AE$9:$AG$13,3,TRUE)</f>
        <v>Poor</v>
      </c>
      <c r="S16" s="2"/>
      <c r="T16" s="9"/>
      <c r="U16" s="9"/>
      <c r="AE16" s="8" t="s">
        <v>17</v>
      </c>
      <c r="AF16" s="5">
        <f>COUNTIF(Table1[gender],AE16)</f>
        <v>482</v>
      </c>
      <c r="AG16" s="7">
        <f>AF16/$AF$17</f>
        <v>0.48199999999999998</v>
      </c>
    </row>
    <row r="17" spans="1:33" x14ac:dyDescent="0.2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t="s">
        <v>51</v>
      </c>
      <c r="J17">
        <f>SUM(Table1[[#This Row],[math score]:[writing score]])</f>
        <v>222</v>
      </c>
      <c r="K17" s="1">
        <f>Table1[[#This Row],[total score]]/3</f>
        <v>74</v>
      </c>
      <c r="L17" s="6" t="str">
        <f>VLOOKUP(Table1[[#This Row],[average score]],$AE$9:$AF$13,2,TRUE)</f>
        <v>C</v>
      </c>
      <c r="M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7" s="2" t="str">
        <f>IF(OR(Table1[[#This Row],[math score]]&lt;$AC$5,Table1[[#This Row],[reading score]]&lt;$AC$5,Table1[[#This Row],[writing score]]&lt;$AC$5), "Failed atleast one", "Passed all")</f>
        <v>Passed all</v>
      </c>
      <c r="O17" t="str">
        <f>VLOOKUP(Table1[[#This Row],[average score]],$AE$9:$AG$13,3,TRUE)</f>
        <v>Satisfactory</v>
      </c>
      <c r="S17" s="2"/>
      <c r="T17" s="9"/>
      <c r="U17" s="9"/>
      <c r="AE17" s="8" t="s">
        <v>1048</v>
      </c>
      <c r="AF17" s="5">
        <f>SUM(AF15:AF16)</f>
        <v>1000</v>
      </c>
      <c r="AG17" s="7">
        <f>AF17/$AF$17</f>
        <v>1</v>
      </c>
    </row>
    <row r="18" spans="1:33" x14ac:dyDescent="0.2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t="s">
        <v>52</v>
      </c>
      <c r="J18">
        <f>SUM(Table1[[#This Row],[math score]:[writing score]])</f>
        <v>263</v>
      </c>
      <c r="K18" s="1">
        <f>Table1[[#This Row],[total score]]/3</f>
        <v>87.666666666666671</v>
      </c>
      <c r="L18" s="6" t="str">
        <f>VLOOKUP(Table1[[#This Row],[average score]],$AE$9:$AF$13,2,TRUE)</f>
        <v>B</v>
      </c>
      <c r="M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8" s="2" t="str">
        <f>IF(OR(Table1[[#This Row],[math score]]&lt;$AC$5,Table1[[#This Row],[reading score]]&lt;$AC$5,Table1[[#This Row],[writing score]]&lt;$AC$5), "Failed atleast one", "Passed all")</f>
        <v>Passed all</v>
      </c>
      <c r="O18" t="str">
        <f>VLOOKUP(Table1[[#This Row],[average score]],$AE$9:$AG$13,3,TRUE)</f>
        <v xml:space="preserve">Good </v>
      </c>
      <c r="S18" s="2"/>
      <c r="T18" s="9"/>
      <c r="U18" s="9"/>
    </row>
    <row r="19" spans="1:33" x14ac:dyDescent="0.2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t="s">
        <v>53</v>
      </c>
      <c r="J19">
        <f>SUM(Table1[[#This Row],[math score]:[writing score]])</f>
        <v>78</v>
      </c>
      <c r="K19" s="1">
        <f>Table1[[#This Row],[total score]]/3</f>
        <v>26</v>
      </c>
      <c r="L19" s="6" t="str">
        <f>VLOOKUP(Table1[[#This Row],[average score]],$AE$9:$AF$13,2,TRUE)</f>
        <v>F</v>
      </c>
      <c r="M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9" s="2" t="str">
        <f>IF(OR(Table1[[#This Row],[math score]]&lt;$AC$5,Table1[[#This Row],[reading score]]&lt;$AC$5,Table1[[#This Row],[writing score]]&lt;$AC$5), "Failed atleast one", "Passed all")</f>
        <v>Failed atleast one</v>
      </c>
      <c r="O19" t="str">
        <f>VLOOKUP(Table1[[#This Row],[average score]],$AE$9:$AG$13,3,TRUE)</f>
        <v>Poor</v>
      </c>
      <c r="S19" s="2"/>
      <c r="T19" s="9"/>
      <c r="U19" s="9"/>
    </row>
    <row r="20" spans="1:33" x14ac:dyDescent="0.2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t="s">
        <v>54</v>
      </c>
      <c r="J20">
        <f>SUM(Table1[[#This Row],[math score]:[writing score]])</f>
        <v>134</v>
      </c>
      <c r="K20" s="1">
        <f>Table1[[#This Row],[total score]]/3</f>
        <v>44.666666666666664</v>
      </c>
      <c r="L20" s="6" t="str">
        <f>VLOOKUP(Table1[[#This Row],[average score]],$AE$9:$AF$13,2,TRUE)</f>
        <v>F</v>
      </c>
      <c r="M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0" s="2" t="str">
        <f>IF(OR(Table1[[#This Row],[math score]]&lt;$AC$5,Table1[[#This Row],[reading score]]&lt;$AC$5,Table1[[#This Row],[writing score]]&lt;$AC$5), "Failed atleast one", "Passed all")</f>
        <v>Failed atleast one</v>
      </c>
      <c r="O20" t="str">
        <f>VLOOKUP(Table1[[#This Row],[average score]],$AE$9:$AG$13,3,TRUE)</f>
        <v>Poor</v>
      </c>
      <c r="S20" s="2"/>
      <c r="T20" s="9"/>
      <c r="U20" s="9"/>
    </row>
    <row r="21" spans="1:33" x14ac:dyDescent="0.2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t="s">
        <v>55</v>
      </c>
      <c r="J21">
        <f>SUM(Table1[[#This Row],[math score]:[writing score]])</f>
        <v>173</v>
      </c>
      <c r="K21" s="1">
        <f>Table1[[#This Row],[total score]]/3</f>
        <v>57.666666666666664</v>
      </c>
      <c r="L21" s="6" t="str">
        <f>VLOOKUP(Table1[[#This Row],[average score]],$AE$9:$AF$13,2,TRUE)</f>
        <v>F</v>
      </c>
      <c r="M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1" s="2" t="str">
        <f>IF(OR(Table1[[#This Row],[math score]]&lt;$AC$5,Table1[[#This Row],[reading score]]&lt;$AC$5,Table1[[#This Row],[writing score]]&lt;$AC$5), "Failed atleast one", "Passed all")</f>
        <v>Failed atleast one</v>
      </c>
      <c r="O21" t="str">
        <f>VLOOKUP(Table1[[#This Row],[average score]],$AE$9:$AG$13,3,TRUE)</f>
        <v>Poor</v>
      </c>
    </row>
    <row r="22" spans="1:33" x14ac:dyDescent="0.2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t="s">
        <v>56</v>
      </c>
      <c r="J22">
        <f>SUM(Table1[[#This Row],[math score]:[writing score]])</f>
        <v>198</v>
      </c>
      <c r="K22" s="1">
        <f>Table1[[#This Row],[total score]]/3</f>
        <v>66</v>
      </c>
      <c r="L22" s="6" t="str">
        <f>VLOOKUP(Table1[[#This Row],[average score]],$AE$9:$AF$13,2,TRUE)</f>
        <v>D</v>
      </c>
      <c r="M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2" s="2" t="str">
        <f>IF(OR(Table1[[#This Row],[math score]]&lt;$AC$5,Table1[[#This Row],[reading score]]&lt;$AC$5,Table1[[#This Row],[writing score]]&lt;$AC$5), "Failed atleast one", "Passed all")</f>
        <v>Passed all</v>
      </c>
      <c r="O22" t="str">
        <f>VLOOKUP(Table1[[#This Row],[average score]],$AE$9:$AG$13,3,TRUE)</f>
        <v>Needs improvements</v>
      </c>
    </row>
    <row r="23" spans="1:33" x14ac:dyDescent="0.2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t="s">
        <v>57</v>
      </c>
      <c r="J23">
        <f>SUM(Table1[[#This Row],[math score]:[writing score]])</f>
        <v>210</v>
      </c>
      <c r="K23" s="1">
        <f>Table1[[#This Row],[total score]]/3</f>
        <v>70</v>
      </c>
      <c r="L23" s="6" t="str">
        <f>VLOOKUP(Table1[[#This Row],[average score]],$AE$9:$AF$13,2,TRUE)</f>
        <v>C</v>
      </c>
      <c r="M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3" s="2" t="str">
        <f>IF(OR(Table1[[#This Row],[math score]]&lt;$AC$5,Table1[[#This Row],[reading score]]&lt;$AC$5,Table1[[#This Row],[writing score]]&lt;$AC$5), "Failed atleast one", "Passed all")</f>
        <v>Passed all</v>
      </c>
      <c r="O23" t="str">
        <f>VLOOKUP(Table1[[#This Row],[average score]],$AE$9:$AG$13,3,TRUE)</f>
        <v>Satisfactory</v>
      </c>
    </row>
    <row r="24" spans="1:33" x14ac:dyDescent="0.2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t="s">
        <v>58</v>
      </c>
      <c r="J24">
        <f>SUM(Table1[[#This Row],[math score]:[writing score]])</f>
        <v>151</v>
      </c>
      <c r="K24" s="1">
        <f>Table1[[#This Row],[total score]]/3</f>
        <v>50.333333333333336</v>
      </c>
      <c r="L24" s="6" t="str">
        <f>VLOOKUP(Table1[[#This Row],[average score]],$AE$9:$AF$13,2,TRUE)</f>
        <v>F</v>
      </c>
      <c r="M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4" s="2" t="str">
        <f>IF(OR(Table1[[#This Row],[math score]]&lt;$AC$5,Table1[[#This Row],[reading score]]&lt;$AC$5,Table1[[#This Row],[writing score]]&lt;$AC$5), "Failed atleast one", "Passed all")</f>
        <v>Failed atleast one</v>
      </c>
      <c r="O24" t="str">
        <f>VLOOKUP(Table1[[#This Row],[average score]],$AE$9:$AG$13,3,TRUE)</f>
        <v>Poor</v>
      </c>
    </row>
    <row r="25" spans="1:33" x14ac:dyDescent="0.2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t="s">
        <v>59</v>
      </c>
      <c r="J25">
        <f>SUM(Table1[[#This Row],[math score]:[writing score]])</f>
        <v>215</v>
      </c>
      <c r="K25" s="1">
        <f>Table1[[#This Row],[total score]]/3</f>
        <v>71.666666666666671</v>
      </c>
      <c r="L25" s="6" t="str">
        <f>VLOOKUP(Table1[[#This Row],[average score]],$AE$9:$AF$13,2,TRUE)</f>
        <v>C</v>
      </c>
      <c r="M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5" s="2" t="str">
        <f>IF(OR(Table1[[#This Row],[math score]]&lt;$AC$5,Table1[[#This Row],[reading score]]&lt;$AC$5,Table1[[#This Row],[writing score]]&lt;$AC$5), "Failed atleast one", "Passed all")</f>
        <v>Passed all</v>
      </c>
      <c r="O25" t="str">
        <f>VLOOKUP(Table1[[#This Row],[average score]],$AE$9:$AG$13,3,TRUE)</f>
        <v>Satisfactory</v>
      </c>
    </row>
    <row r="26" spans="1:33" x14ac:dyDescent="0.2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t="s">
        <v>60</v>
      </c>
      <c r="J26">
        <f>SUM(Table1[[#This Row],[math score]:[writing score]])</f>
        <v>225</v>
      </c>
      <c r="K26" s="1">
        <f>Table1[[#This Row],[total score]]/3</f>
        <v>75</v>
      </c>
      <c r="L26" s="6" t="str">
        <f>VLOOKUP(Table1[[#This Row],[average score]],$AE$9:$AF$13,2,TRUE)</f>
        <v>C</v>
      </c>
      <c r="M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" s="2" t="str">
        <f>IF(OR(Table1[[#This Row],[math score]]&lt;$AC$5,Table1[[#This Row],[reading score]]&lt;$AC$5,Table1[[#This Row],[writing score]]&lt;$AC$5), "Failed atleast one", "Passed all")</f>
        <v>Passed all</v>
      </c>
      <c r="O26" t="str">
        <f>VLOOKUP(Table1[[#This Row],[average score]],$AE$9:$AG$13,3,TRUE)</f>
        <v>Satisfactory</v>
      </c>
    </row>
    <row r="27" spans="1:33" x14ac:dyDescent="0.2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t="s">
        <v>61</v>
      </c>
      <c r="J27">
        <f>SUM(Table1[[#This Row],[math score]:[writing score]])</f>
        <v>219</v>
      </c>
      <c r="K27" s="1">
        <f>Table1[[#This Row],[total score]]/3</f>
        <v>73</v>
      </c>
      <c r="L27" s="6" t="str">
        <f>VLOOKUP(Table1[[#This Row],[average score]],$AE$9:$AF$13,2,TRUE)</f>
        <v>C</v>
      </c>
      <c r="M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7" s="2" t="str">
        <f>IF(OR(Table1[[#This Row],[math score]]&lt;$AC$5,Table1[[#This Row],[reading score]]&lt;$AC$5,Table1[[#This Row],[writing score]]&lt;$AC$5), "Failed atleast one", "Passed all")</f>
        <v>Passed all</v>
      </c>
      <c r="O27" t="str">
        <f>VLOOKUP(Table1[[#This Row],[average score]],$AE$9:$AG$13,3,TRUE)</f>
        <v>Satisfactory</v>
      </c>
    </row>
    <row r="28" spans="1:33" x14ac:dyDescent="0.2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t="s">
        <v>62</v>
      </c>
      <c r="J28">
        <f>SUM(Table1[[#This Row],[math score]:[writing score]])</f>
        <v>178</v>
      </c>
      <c r="K28" s="1">
        <f>Table1[[#This Row],[total score]]/3</f>
        <v>59.333333333333336</v>
      </c>
      <c r="L28" s="6" t="str">
        <f>VLOOKUP(Table1[[#This Row],[average score]],$AE$9:$AF$13,2,TRUE)</f>
        <v>F</v>
      </c>
      <c r="M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8" s="2" t="str">
        <f>IF(OR(Table1[[#This Row],[math score]]&lt;$AC$5,Table1[[#This Row],[reading score]]&lt;$AC$5,Table1[[#This Row],[writing score]]&lt;$AC$5), "Failed atleast one", "Passed all")</f>
        <v>Failed atleast one</v>
      </c>
      <c r="O28" t="str">
        <f>VLOOKUP(Table1[[#This Row],[average score]],$AE$9:$AG$13,3,TRUE)</f>
        <v>Poor</v>
      </c>
    </row>
    <row r="29" spans="1:33" x14ac:dyDescent="0.2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t="s">
        <v>63</v>
      </c>
      <c r="J29">
        <f>SUM(Table1[[#This Row],[math score]:[writing score]])</f>
        <v>211</v>
      </c>
      <c r="K29" s="1">
        <f>Table1[[#This Row],[total score]]/3</f>
        <v>70.333333333333329</v>
      </c>
      <c r="L29" s="6" t="str">
        <f>VLOOKUP(Table1[[#This Row],[average score]],$AE$9:$AF$13,2,TRUE)</f>
        <v>C</v>
      </c>
      <c r="M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" s="2" t="str">
        <f>IF(OR(Table1[[#This Row],[math score]]&lt;$AC$5,Table1[[#This Row],[reading score]]&lt;$AC$5,Table1[[#This Row],[writing score]]&lt;$AC$5), "Failed atleast one", "Passed all")</f>
        <v>Passed all</v>
      </c>
      <c r="O29" t="str">
        <f>VLOOKUP(Table1[[#This Row],[average score]],$AE$9:$AG$13,3,TRUE)</f>
        <v>Satisfactory</v>
      </c>
    </row>
    <row r="30" spans="1:33" x14ac:dyDescent="0.2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t="s">
        <v>64</v>
      </c>
      <c r="J30">
        <f>SUM(Table1[[#This Row],[math score]:[writing score]])</f>
        <v>205</v>
      </c>
      <c r="K30" s="1">
        <f>Table1[[#This Row],[total score]]/3</f>
        <v>68.333333333333329</v>
      </c>
      <c r="L30" s="6" t="str">
        <f>VLOOKUP(Table1[[#This Row],[average score]],$AE$9:$AF$13,2,TRUE)</f>
        <v>D</v>
      </c>
      <c r="M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0" s="2" t="str">
        <f>IF(OR(Table1[[#This Row],[math score]]&lt;$AC$5,Table1[[#This Row],[reading score]]&lt;$AC$5,Table1[[#This Row],[writing score]]&lt;$AC$5), "Failed atleast one", "Passed all")</f>
        <v>Passed all</v>
      </c>
      <c r="O30" t="str">
        <f>VLOOKUP(Table1[[#This Row],[average score]],$AE$9:$AG$13,3,TRUE)</f>
        <v>Needs improvements</v>
      </c>
    </row>
    <row r="31" spans="1:33" x14ac:dyDescent="0.2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t="s">
        <v>65</v>
      </c>
      <c r="J31">
        <f>SUM(Table1[[#This Row],[math score]:[writing score]])</f>
        <v>207</v>
      </c>
      <c r="K31" s="1">
        <f>Table1[[#This Row],[total score]]/3</f>
        <v>69</v>
      </c>
      <c r="L31" s="6" t="str">
        <f>VLOOKUP(Table1[[#This Row],[average score]],$AE$9:$AF$13,2,TRUE)</f>
        <v>D</v>
      </c>
      <c r="M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" s="2" t="str">
        <f>IF(OR(Table1[[#This Row],[math score]]&lt;$AC$5,Table1[[#This Row],[reading score]]&lt;$AC$5,Table1[[#This Row],[writing score]]&lt;$AC$5), "Failed atleast one", "Passed all")</f>
        <v>Passed all</v>
      </c>
      <c r="O31" t="str">
        <f>VLOOKUP(Table1[[#This Row],[average score]],$AE$9:$AG$13,3,TRUE)</f>
        <v>Needs improvements</v>
      </c>
    </row>
    <row r="32" spans="1:33" x14ac:dyDescent="0.2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t="s">
        <v>66</v>
      </c>
      <c r="J32">
        <f>SUM(Table1[[#This Row],[math score]:[writing score]])</f>
        <v>217</v>
      </c>
      <c r="K32" s="1">
        <f>Table1[[#This Row],[total score]]/3</f>
        <v>72.333333333333329</v>
      </c>
      <c r="L32" s="6" t="str">
        <f>VLOOKUP(Table1[[#This Row],[average score]],$AE$9:$AF$13,2,TRUE)</f>
        <v>C</v>
      </c>
      <c r="M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2" s="2" t="str">
        <f>IF(OR(Table1[[#This Row],[math score]]&lt;$AC$5,Table1[[#This Row],[reading score]]&lt;$AC$5,Table1[[#This Row],[writing score]]&lt;$AC$5), "Failed atleast one", "Passed all")</f>
        <v>Passed all</v>
      </c>
      <c r="O32" t="str">
        <f>VLOOKUP(Table1[[#This Row],[average score]],$AE$9:$AG$13,3,TRUE)</f>
        <v>Satisfactory</v>
      </c>
    </row>
    <row r="33" spans="1:15" x14ac:dyDescent="0.2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t="s">
        <v>67</v>
      </c>
      <c r="J33">
        <f>SUM(Table1[[#This Row],[math score]:[writing score]])</f>
        <v>189</v>
      </c>
      <c r="K33" s="1">
        <f>Table1[[#This Row],[total score]]/3</f>
        <v>63</v>
      </c>
      <c r="L33" s="6" t="str">
        <f>VLOOKUP(Table1[[#This Row],[average score]],$AE$9:$AF$13,2,TRUE)</f>
        <v>D</v>
      </c>
      <c r="M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3" s="2" t="str">
        <f>IF(OR(Table1[[#This Row],[math score]]&lt;$AC$5,Table1[[#This Row],[reading score]]&lt;$AC$5,Table1[[#This Row],[writing score]]&lt;$AC$5), "Failed atleast one", "Passed all")</f>
        <v>Passed all</v>
      </c>
      <c r="O33" t="str">
        <f>VLOOKUP(Table1[[#This Row],[average score]],$AE$9:$AG$13,3,TRUE)</f>
        <v>Needs improvements</v>
      </c>
    </row>
    <row r="34" spans="1:15" x14ac:dyDescent="0.2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t="s">
        <v>68</v>
      </c>
      <c r="J34">
        <f>SUM(Table1[[#This Row],[math score]:[writing score]])</f>
        <v>193</v>
      </c>
      <c r="K34" s="1">
        <f>Table1[[#This Row],[total score]]/3</f>
        <v>64.333333333333329</v>
      </c>
      <c r="L34" s="6" t="str">
        <f>VLOOKUP(Table1[[#This Row],[average score]],$AE$9:$AF$13,2,TRUE)</f>
        <v>D</v>
      </c>
      <c r="M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4" s="2" t="str">
        <f>IF(OR(Table1[[#This Row],[math score]]&lt;$AC$5,Table1[[#This Row],[reading score]]&lt;$AC$5,Table1[[#This Row],[writing score]]&lt;$AC$5), "Failed atleast one", "Passed all")</f>
        <v>Failed atleast one</v>
      </c>
      <c r="O34" t="str">
        <f>VLOOKUP(Table1[[#This Row],[average score]],$AE$9:$AG$13,3,TRUE)</f>
        <v>Needs improvements</v>
      </c>
    </row>
    <row r="35" spans="1:15" x14ac:dyDescent="0.2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t="s">
        <v>69</v>
      </c>
      <c r="J35">
        <f>SUM(Table1[[#This Row],[math score]:[writing score]])</f>
        <v>120</v>
      </c>
      <c r="K35" s="1">
        <f>Table1[[#This Row],[total score]]/3</f>
        <v>40</v>
      </c>
      <c r="L35" s="6" t="str">
        <f>VLOOKUP(Table1[[#This Row],[average score]],$AE$9:$AF$13,2,TRUE)</f>
        <v>F</v>
      </c>
      <c r="M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5" s="2" t="str">
        <f>IF(OR(Table1[[#This Row],[math score]]&lt;$AC$5,Table1[[#This Row],[reading score]]&lt;$AC$5,Table1[[#This Row],[writing score]]&lt;$AC$5), "Failed atleast one", "Passed all")</f>
        <v>Failed atleast one</v>
      </c>
      <c r="O35" t="str">
        <f>VLOOKUP(Table1[[#This Row],[average score]],$AE$9:$AG$13,3,TRUE)</f>
        <v>Poor</v>
      </c>
    </row>
    <row r="36" spans="1:15" x14ac:dyDescent="0.2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t="s">
        <v>70</v>
      </c>
      <c r="J36">
        <f>SUM(Table1[[#This Row],[math score]:[writing score]])</f>
        <v>266</v>
      </c>
      <c r="K36" s="1">
        <f>Table1[[#This Row],[total score]]/3</f>
        <v>88.666666666666671</v>
      </c>
      <c r="L36" s="6" t="str">
        <f>VLOOKUP(Table1[[#This Row],[average score]],$AE$9:$AF$13,2,TRUE)</f>
        <v>B</v>
      </c>
      <c r="M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6" s="2" t="str">
        <f>IF(OR(Table1[[#This Row],[math score]]&lt;$AC$5,Table1[[#This Row],[reading score]]&lt;$AC$5,Table1[[#This Row],[writing score]]&lt;$AC$5), "Failed atleast one", "Passed all")</f>
        <v>Passed all</v>
      </c>
      <c r="O36" t="str">
        <f>VLOOKUP(Table1[[#This Row],[average score]],$AE$9:$AG$13,3,TRUE)</f>
        <v xml:space="preserve">Good </v>
      </c>
    </row>
    <row r="37" spans="1:15" x14ac:dyDescent="0.2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t="s">
        <v>71</v>
      </c>
      <c r="J37">
        <f>SUM(Table1[[#This Row],[math score]:[writing score]])</f>
        <v>241</v>
      </c>
      <c r="K37" s="1">
        <f>Table1[[#This Row],[total score]]/3</f>
        <v>80.333333333333329</v>
      </c>
      <c r="L37" s="6" t="str">
        <f>VLOOKUP(Table1[[#This Row],[average score]],$AE$9:$AF$13,2,TRUE)</f>
        <v>B</v>
      </c>
      <c r="M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7" s="2" t="str">
        <f>IF(OR(Table1[[#This Row],[math score]]&lt;$AC$5,Table1[[#This Row],[reading score]]&lt;$AC$5,Table1[[#This Row],[writing score]]&lt;$AC$5), "Failed atleast one", "Passed all")</f>
        <v>Passed all</v>
      </c>
      <c r="O37" t="str">
        <f>VLOOKUP(Table1[[#This Row],[average score]],$AE$9:$AG$13,3,TRUE)</f>
        <v xml:space="preserve">Good </v>
      </c>
    </row>
    <row r="38" spans="1:15" x14ac:dyDescent="0.2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t="s">
        <v>72</v>
      </c>
      <c r="J38">
        <f>SUM(Table1[[#This Row],[math score]:[writing score]])</f>
        <v>238</v>
      </c>
      <c r="K38" s="1">
        <f>Table1[[#This Row],[total score]]/3</f>
        <v>79.333333333333329</v>
      </c>
      <c r="L38" s="6" t="str">
        <f>VLOOKUP(Table1[[#This Row],[average score]],$AE$9:$AF$13,2,TRUE)</f>
        <v>C</v>
      </c>
      <c r="M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8" s="2" t="str">
        <f>IF(OR(Table1[[#This Row],[math score]]&lt;$AC$5,Table1[[#This Row],[reading score]]&lt;$AC$5,Table1[[#This Row],[writing score]]&lt;$AC$5), "Failed atleast one", "Passed all")</f>
        <v>Passed all</v>
      </c>
      <c r="O38" t="str">
        <f>VLOOKUP(Table1[[#This Row],[average score]],$AE$9:$AG$13,3,TRUE)</f>
        <v>Satisfactory</v>
      </c>
    </row>
    <row r="39" spans="1:15" x14ac:dyDescent="0.2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t="s">
        <v>73</v>
      </c>
      <c r="J39">
        <f>SUM(Table1[[#This Row],[math score]:[writing score]])</f>
        <v>173</v>
      </c>
      <c r="K39" s="1">
        <f>Table1[[#This Row],[total score]]/3</f>
        <v>57.666666666666664</v>
      </c>
      <c r="L39" s="6" t="str">
        <f>VLOOKUP(Table1[[#This Row],[average score]],$AE$9:$AF$13,2,TRUE)</f>
        <v>F</v>
      </c>
      <c r="M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9" s="2" t="str">
        <f>IF(OR(Table1[[#This Row],[math score]]&lt;$AC$5,Table1[[#This Row],[reading score]]&lt;$AC$5,Table1[[#This Row],[writing score]]&lt;$AC$5), "Failed atleast one", "Passed all")</f>
        <v>Failed atleast one</v>
      </c>
      <c r="O39" t="str">
        <f>VLOOKUP(Table1[[#This Row],[average score]],$AE$9:$AG$13,3,TRUE)</f>
        <v>Poor</v>
      </c>
    </row>
    <row r="40" spans="1:15" x14ac:dyDescent="0.2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t="s">
        <v>74</v>
      </c>
      <c r="J40">
        <f>SUM(Table1[[#This Row],[math score]:[writing score]])</f>
        <v>253</v>
      </c>
      <c r="K40" s="1">
        <f>Table1[[#This Row],[total score]]/3</f>
        <v>84.333333333333329</v>
      </c>
      <c r="L40" s="6" t="str">
        <f>VLOOKUP(Table1[[#This Row],[average score]],$AE$9:$AF$13,2,TRUE)</f>
        <v>B</v>
      </c>
      <c r="M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0" s="2" t="str">
        <f>IF(OR(Table1[[#This Row],[math score]]&lt;$AC$5,Table1[[#This Row],[reading score]]&lt;$AC$5,Table1[[#This Row],[writing score]]&lt;$AC$5), "Failed atleast one", "Passed all")</f>
        <v>Passed all</v>
      </c>
      <c r="O40" t="str">
        <f>VLOOKUP(Table1[[#This Row],[average score]],$AE$9:$AG$13,3,TRUE)</f>
        <v xml:space="preserve">Good </v>
      </c>
    </row>
    <row r="41" spans="1:15" x14ac:dyDescent="0.2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t="s">
        <v>75</v>
      </c>
      <c r="J41">
        <f>SUM(Table1[[#This Row],[math score]:[writing score]])</f>
        <v>170</v>
      </c>
      <c r="K41" s="1">
        <f>Table1[[#This Row],[total score]]/3</f>
        <v>56.666666666666664</v>
      </c>
      <c r="L41" s="6" t="str">
        <f>VLOOKUP(Table1[[#This Row],[average score]],$AE$9:$AF$13,2,TRUE)</f>
        <v>F</v>
      </c>
      <c r="M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1" s="2" t="str">
        <f>IF(OR(Table1[[#This Row],[math score]]&lt;$AC$5,Table1[[#This Row],[reading score]]&lt;$AC$5,Table1[[#This Row],[writing score]]&lt;$AC$5), "Failed atleast one", "Passed all")</f>
        <v>Failed atleast one</v>
      </c>
      <c r="O41" t="str">
        <f>VLOOKUP(Table1[[#This Row],[average score]],$AE$9:$AG$13,3,TRUE)</f>
        <v>Poor</v>
      </c>
    </row>
    <row r="42" spans="1:15" x14ac:dyDescent="0.2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t="s">
        <v>76</v>
      </c>
      <c r="J42">
        <f>SUM(Table1[[#This Row],[math score]:[writing score]])</f>
        <v>170</v>
      </c>
      <c r="K42" s="1">
        <f>Table1[[#This Row],[total score]]/3</f>
        <v>56.666666666666664</v>
      </c>
      <c r="L42" s="6" t="str">
        <f>VLOOKUP(Table1[[#This Row],[average score]],$AE$9:$AF$13,2,TRUE)</f>
        <v>F</v>
      </c>
      <c r="M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2" s="2" t="str">
        <f>IF(OR(Table1[[#This Row],[math score]]&lt;$AC$5,Table1[[#This Row],[reading score]]&lt;$AC$5,Table1[[#This Row],[writing score]]&lt;$AC$5), "Failed atleast one", "Passed all")</f>
        <v>Failed atleast one</v>
      </c>
      <c r="O42" t="str">
        <f>VLOOKUP(Table1[[#This Row],[average score]],$AE$9:$AG$13,3,TRUE)</f>
        <v>Poor</v>
      </c>
    </row>
    <row r="43" spans="1:15" x14ac:dyDescent="0.2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t="s">
        <v>77</v>
      </c>
      <c r="J43">
        <f>SUM(Table1[[#This Row],[math score]:[writing score]])</f>
        <v>199</v>
      </c>
      <c r="K43" s="1">
        <f>Table1[[#This Row],[total score]]/3</f>
        <v>66.333333333333329</v>
      </c>
      <c r="L43" s="6" t="str">
        <f>VLOOKUP(Table1[[#This Row],[average score]],$AE$9:$AF$13,2,TRUE)</f>
        <v>D</v>
      </c>
      <c r="M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" s="2" t="str">
        <f>IF(OR(Table1[[#This Row],[math score]]&lt;$AC$5,Table1[[#This Row],[reading score]]&lt;$AC$5,Table1[[#This Row],[writing score]]&lt;$AC$5), "Failed atleast one", "Passed all")</f>
        <v>Failed atleast one</v>
      </c>
      <c r="O43" t="str">
        <f>VLOOKUP(Table1[[#This Row],[average score]],$AE$9:$AG$13,3,TRUE)</f>
        <v>Needs improvements</v>
      </c>
    </row>
    <row r="44" spans="1:15" x14ac:dyDescent="0.2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t="s">
        <v>78</v>
      </c>
      <c r="J44">
        <f>SUM(Table1[[#This Row],[math score]:[writing score]])</f>
        <v>176</v>
      </c>
      <c r="K44" s="1">
        <f>Table1[[#This Row],[total score]]/3</f>
        <v>58.666666666666664</v>
      </c>
      <c r="L44" s="6" t="str">
        <f>VLOOKUP(Table1[[#This Row],[average score]],$AE$9:$AF$13,2,TRUE)</f>
        <v>F</v>
      </c>
      <c r="M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4" s="2" t="str">
        <f>IF(OR(Table1[[#This Row],[math score]]&lt;$AC$5,Table1[[#This Row],[reading score]]&lt;$AC$5,Table1[[#This Row],[writing score]]&lt;$AC$5), "Failed atleast one", "Passed all")</f>
        <v>Failed atleast one</v>
      </c>
      <c r="O44" t="str">
        <f>VLOOKUP(Table1[[#This Row],[average score]],$AE$9:$AG$13,3,TRUE)</f>
        <v>Poor</v>
      </c>
    </row>
    <row r="45" spans="1:15" x14ac:dyDescent="0.2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t="s">
        <v>79</v>
      </c>
      <c r="J45">
        <f>SUM(Table1[[#This Row],[math score]:[writing score]])</f>
        <v>190</v>
      </c>
      <c r="K45" s="1">
        <f>Table1[[#This Row],[total score]]/3</f>
        <v>63.333333333333336</v>
      </c>
      <c r="L45" s="6" t="str">
        <f>VLOOKUP(Table1[[#This Row],[average score]],$AE$9:$AF$13,2,TRUE)</f>
        <v>D</v>
      </c>
      <c r="M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5" s="2" t="str">
        <f>IF(OR(Table1[[#This Row],[math score]]&lt;$AC$5,Table1[[#This Row],[reading score]]&lt;$AC$5,Table1[[#This Row],[writing score]]&lt;$AC$5), "Failed atleast one", "Passed all")</f>
        <v>Failed atleast one</v>
      </c>
      <c r="O45" t="str">
        <f>VLOOKUP(Table1[[#This Row],[average score]],$AE$9:$AG$13,3,TRUE)</f>
        <v>Needs improvements</v>
      </c>
    </row>
    <row r="46" spans="1:15" x14ac:dyDescent="0.2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t="s">
        <v>80</v>
      </c>
      <c r="J46">
        <f>SUM(Table1[[#This Row],[math score]:[writing score]])</f>
        <v>160</v>
      </c>
      <c r="K46" s="1">
        <f>Table1[[#This Row],[total score]]/3</f>
        <v>53.333333333333336</v>
      </c>
      <c r="L46" s="6" t="str">
        <f>VLOOKUP(Table1[[#This Row],[average score]],$AE$9:$AF$13,2,TRUE)</f>
        <v>F</v>
      </c>
      <c r="M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6" s="2" t="str">
        <f>IF(OR(Table1[[#This Row],[math score]]&lt;$AC$5,Table1[[#This Row],[reading score]]&lt;$AC$5,Table1[[#This Row],[writing score]]&lt;$AC$5), "Failed atleast one", "Passed all")</f>
        <v>Failed atleast one</v>
      </c>
      <c r="O46" t="str">
        <f>VLOOKUP(Table1[[#This Row],[average score]],$AE$9:$AG$13,3,TRUE)</f>
        <v>Poor</v>
      </c>
    </row>
    <row r="47" spans="1:15" x14ac:dyDescent="0.2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t="s">
        <v>81</v>
      </c>
      <c r="J47">
        <f>SUM(Table1[[#This Row],[math score]:[writing score]])</f>
        <v>176</v>
      </c>
      <c r="K47" s="1">
        <f>Table1[[#This Row],[total score]]/3</f>
        <v>58.666666666666664</v>
      </c>
      <c r="L47" s="6" t="str">
        <f>VLOOKUP(Table1[[#This Row],[average score]],$AE$9:$AF$13,2,TRUE)</f>
        <v>F</v>
      </c>
      <c r="M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7" s="2" t="str">
        <f>IF(OR(Table1[[#This Row],[math score]]&lt;$AC$5,Table1[[#This Row],[reading score]]&lt;$AC$5,Table1[[#This Row],[writing score]]&lt;$AC$5), "Failed atleast one", "Passed all")</f>
        <v>Failed atleast one</v>
      </c>
      <c r="O47" t="str">
        <f>VLOOKUP(Table1[[#This Row],[average score]],$AE$9:$AG$13,3,TRUE)</f>
        <v>Poor</v>
      </c>
    </row>
    <row r="48" spans="1:15" x14ac:dyDescent="0.2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t="s">
        <v>82</v>
      </c>
      <c r="J48">
        <f>SUM(Table1[[#This Row],[math score]:[writing score]])</f>
        <v>182</v>
      </c>
      <c r="K48" s="1">
        <f>Table1[[#This Row],[total score]]/3</f>
        <v>60.666666666666664</v>
      </c>
      <c r="L48" s="6" t="str">
        <f>VLOOKUP(Table1[[#This Row],[average score]],$AE$9:$AF$13,2,TRUE)</f>
        <v>D</v>
      </c>
      <c r="M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8" s="2" t="str">
        <f>IF(OR(Table1[[#This Row],[math score]]&lt;$AC$5,Table1[[#This Row],[reading score]]&lt;$AC$5,Table1[[#This Row],[writing score]]&lt;$AC$5), "Failed atleast one", "Passed all")</f>
        <v>Failed atleast one</v>
      </c>
      <c r="O48" t="str">
        <f>VLOOKUP(Table1[[#This Row],[average score]],$AE$9:$AG$13,3,TRUE)</f>
        <v>Needs improvements</v>
      </c>
    </row>
    <row r="49" spans="1:15" x14ac:dyDescent="0.2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t="s">
        <v>83</v>
      </c>
      <c r="J49">
        <f>SUM(Table1[[#This Row],[math score]:[writing score]])</f>
        <v>213</v>
      </c>
      <c r="K49" s="1">
        <f>Table1[[#This Row],[total score]]/3</f>
        <v>71</v>
      </c>
      <c r="L49" s="6" t="str">
        <f>VLOOKUP(Table1[[#This Row],[average score]],$AE$9:$AF$13,2,TRUE)</f>
        <v>C</v>
      </c>
      <c r="M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9" s="2" t="str">
        <f>IF(OR(Table1[[#This Row],[math score]]&lt;$AC$5,Table1[[#This Row],[reading score]]&lt;$AC$5,Table1[[#This Row],[writing score]]&lt;$AC$5), "Failed atleast one", "Passed all")</f>
        <v>Passed all</v>
      </c>
      <c r="O49" t="str">
        <f>VLOOKUP(Table1[[#This Row],[average score]],$AE$9:$AG$13,3,TRUE)</f>
        <v>Satisfactory</v>
      </c>
    </row>
    <row r="50" spans="1:15" x14ac:dyDescent="0.2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t="s">
        <v>84</v>
      </c>
      <c r="J50">
        <f>SUM(Table1[[#This Row],[math score]:[writing score]])</f>
        <v>207</v>
      </c>
      <c r="K50" s="1">
        <f>Table1[[#This Row],[total score]]/3</f>
        <v>69</v>
      </c>
      <c r="L50" s="6" t="str">
        <f>VLOOKUP(Table1[[#This Row],[average score]],$AE$9:$AF$13,2,TRUE)</f>
        <v>D</v>
      </c>
      <c r="M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0" s="2" t="str">
        <f>IF(OR(Table1[[#This Row],[math score]]&lt;$AC$5,Table1[[#This Row],[reading score]]&lt;$AC$5,Table1[[#This Row],[writing score]]&lt;$AC$5), "Failed atleast one", "Passed all")</f>
        <v>Failed atleast one</v>
      </c>
      <c r="O50" t="str">
        <f>VLOOKUP(Table1[[#This Row],[average score]],$AE$9:$AG$13,3,TRUE)</f>
        <v>Needs improvements</v>
      </c>
    </row>
    <row r="51" spans="1:15" x14ac:dyDescent="0.2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t="s">
        <v>85</v>
      </c>
      <c r="J51">
        <f>SUM(Table1[[#This Row],[math score]:[writing score]])</f>
        <v>248</v>
      </c>
      <c r="K51" s="1">
        <f>Table1[[#This Row],[total score]]/3</f>
        <v>82.666666666666671</v>
      </c>
      <c r="L51" s="6" t="str">
        <f>VLOOKUP(Table1[[#This Row],[average score]],$AE$9:$AF$13,2,TRUE)</f>
        <v>B</v>
      </c>
      <c r="M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1" s="2" t="str">
        <f>IF(OR(Table1[[#This Row],[math score]]&lt;$AC$5,Table1[[#This Row],[reading score]]&lt;$AC$5,Table1[[#This Row],[writing score]]&lt;$AC$5), "Failed atleast one", "Passed all")</f>
        <v>Passed all</v>
      </c>
      <c r="O51" t="str">
        <f>VLOOKUP(Table1[[#This Row],[average score]],$AE$9:$AG$13,3,TRUE)</f>
        <v xml:space="preserve">Good </v>
      </c>
    </row>
    <row r="52" spans="1:15" x14ac:dyDescent="0.2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t="s">
        <v>86</v>
      </c>
      <c r="J52">
        <f>SUM(Table1[[#This Row],[math score]:[writing score]])</f>
        <v>156</v>
      </c>
      <c r="K52" s="1">
        <f>Table1[[#This Row],[total score]]/3</f>
        <v>52</v>
      </c>
      <c r="L52" s="6" t="str">
        <f>VLOOKUP(Table1[[#This Row],[average score]],$AE$9:$AF$13,2,TRUE)</f>
        <v>F</v>
      </c>
      <c r="M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" s="2" t="str">
        <f>IF(OR(Table1[[#This Row],[math score]]&lt;$AC$5,Table1[[#This Row],[reading score]]&lt;$AC$5,Table1[[#This Row],[writing score]]&lt;$AC$5), "Failed atleast one", "Passed all")</f>
        <v>Failed atleast one</v>
      </c>
      <c r="O52" t="str">
        <f>VLOOKUP(Table1[[#This Row],[average score]],$AE$9:$AG$13,3,TRUE)</f>
        <v>Poor</v>
      </c>
    </row>
    <row r="53" spans="1:15" x14ac:dyDescent="0.2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t="s">
        <v>87</v>
      </c>
      <c r="J53">
        <f>SUM(Table1[[#This Row],[math score]:[writing score]])</f>
        <v>214</v>
      </c>
      <c r="K53" s="1">
        <f>Table1[[#This Row],[total score]]/3</f>
        <v>71.333333333333329</v>
      </c>
      <c r="L53" s="6" t="str">
        <f>VLOOKUP(Table1[[#This Row],[average score]],$AE$9:$AF$13,2,TRUE)</f>
        <v>C</v>
      </c>
      <c r="M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3" s="2" t="str">
        <f>IF(OR(Table1[[#This Row],[math score]]&lt;$AC$5,Table1[[#This Row],[reading score]]&lt;$AC$5,Table1[[#This Row],[writing score]]&lt;$AC$5), "Failed atleast one", "Passed all")</f>
        <v>Passed all</v>
      </c>
      <c r="O53" t="str">
        <f>VLOOKUP(Table1[[#This Row],[average score]],$AE$9:$AG$13,3,TRUE)</f>
        <v>Satisfactory</v>
      </c>
    </row>
    <row r="54" spans="1:15" x14ac:dyDescent="0.2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t="s">
        <v>88</v>
      </c>
      <c r="J54">
        <f>SUM(Table1[[#This Row],[math score]:[writing score]])</f>
        <v>139</v>
      </c>
      <c r="K54" s="1">
        <f>Table1[[#This Row],[total score]]/3</f>
        <v>46.333333333333336</v>
      </c>
      <c r="L54" s="6" t="str">
        <f>VLOOKUP(Table1[[#This Row],[average score]],$AE$9:$AF$13,2,TRUE)</f>
        <v>F</v>
      </c>
      <c r="M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4" s="2" t="str">
        <f>IF(OR(Table1[[#This Row],[math score]]&lt;$AC$5,Table1[[#This Row],[reading score]]&lt;$AC$5,Table1[[#This Row],[writing score]]&lt;$AC$5), "Failed atleast one", "Passed all")</f>
        <v>Failed atleast one</v>
      </c>
      <c r="O54" t="str">
        <f>VLOOKUP(Table1[[#This Row],[average score]],$AE$9:$AG$13,3,TRUE)</f>
        <v>Poor</v>
      </c>
    </row>
    <row r="55" spans="1:15" x14ac:dyDescent="0.2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t="s">
        <v>89</v>
      </c>
      <c r="J55">
        <f>SUM(Table1[[#This Row],[math score]:[writing score]])</f>
        <v>241</v>
      </c>
      <c r="K55" s="1">
        <f>Table1[[#This Row],[total score]]/3</f>
        <v>80.333333333333329</v>
      </c>
      <c r="L55" s="6" t="str">
        <f>VLOOKUP(Table1[[#This Row],[average score]],$AE$9:$AF$13,2,TRUE)</f>
        <v>B</v>
      </c>
      <c r="M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5" s="2" t="str">
        <f>IF(OR(Table1[[#This Row],[math score]]&lt;$AC$5,Table1[[#This Row],[reading score]]&lt;$AC$5,Table1[[#This Row],[writing score]]&lt;$AC$5), "Failed atleast one", "Passed all")</f>
        <v>Passed all</v>
      </c>
      <c r="O55" t="str">
        <f>VLOOKUP(Table1[[#This Row],[average score]],$AE$9:$AG$13,3,TRUE)</f>
        <v xml:space="preserve">Good </v>
      </c>
    </row>
    <row r="56" spans="1:15" x14ac:dyDescent="0.2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t="s">
        <v>90</v>
      </c>
      <c r="J56">
        <f>SUM(Table1[[#This Row],[math score]:[writing score]])</f>
        <v>242</v>
      </c>
      <c r="K56" s="1">
        <f>Table1[[#This Row],[total score]]/3</f>
        <v>80.666666666666671</v>
      </c>
      <c r="L56" s="6" t="str">
        <f>VLOOKUP(Table1[[#This Row],[average score]],$AE$9:$AF$13,2,TRUE)</f>
        <v>B</v>
      </c>
      <c r="M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6" s="2" t="str">
        <f>IF(OR(Table1[[#This Row],[math score]]&lt;$AC$5,Table1[[#This Row],[reading score]]&lt;$AC$5,Table1[[#This Row],[writing score]]&lt;$AC$5), "Failed atleast one", "Passed all")</f>
        <v>Passed all</v>
      </c>
      <c r="O56" t="str">
        <f>VLOOKUP(Table1[[#This Row],[average score]],$AE$9:$AG$13,3,TRUE)</f>
        <v xml:space="preserve">Good </v>
      </c>
    </row>
    <row r="57" spans="1:15" x14ac:dyDescent="0.2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t="s">
        <v>91</v>
      </c>
      <c r="J57">
        <f>SUM(Table1[[#This Row],[math score]:[writing score]])</f>
        <v>117</v>
      </c>
      <c r="K57" s="1">
        <f>Table1[[#This Row],[total score]]/3</f>
        <v>39</v>
      </c>
      <c r="L57" s="6" t="str">
        <f>VLOOKUP(Table1[[#This Row],[average score]],$AE$9:$AF$13,2,TRUE)</f>
        <v>F</v>
      </c>
      <c r="M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7" s="2" t="str">
        <f>IF(OR(Table1[[#This Row],[math score]]&lt;$AC$5,Table1[[#This Row],[reading score]]&lt;$AC$5,Table1[[#This Row],[writing score]]&lt;$AC$5), "Failed atleast one", "Passed all")</f>
        <v>Failed atleast one</v>
      </c>
      <c r="O57" t="str">
        <f>VLOOKUP(Table1[[#This Row],[average score]],$AE$9:$AG$13,3,TRUE)</f>
        <v>Poor</v>
      </c>
    </row>
    <row r="58" spans="1:15" x14ac:dyDescent="0.2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t="s">
        <v>92</v>
      </c>
      <c r="J58">
        <f>SUM(Table1[[#This Row],[math score]:[writing score]])</f>
        <v>253</v>
      </c>
      <c r="K58" s="1">
        <f>Table1[[#This Row],[total score]]/3</f>
        <v>84.333333333333329</v>
      </c>
      <c r="L58" s="6" t="str">
        <f>VLOOKUP(Table1[[#This Row],[average score]],$AE$9:$AF$13,2,TRUE)</f>
        <v>B</v>
      </c>
      <c r="M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8" s="2" t="str">
        <f>IF(OR(Table1[[#This Row],[math score]]&lt;$AC$5,Table1[[#This Row],[reading score]]&lt;$AC$5,Table1[[#This Row],[writing score]]&lt;$AC$5), "Failed atleast one", "Passed all")</f>
        <v>Passed all</v>
      </c>
      <c r="O58" t="str">
        <f>VLOOKUP(Table1[[#This Row],[average score]],$AE$9:$AG$13,3,TRUE)</f>
        <v xml:space="preserve">Good </v>
      </c>
    </row>
    <row r="59" spans="1:15" x14ac:dyDescent="0.2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t="s">
        <v>93</v>
      </c>
      <c r="J59">
        <f>SUM(Table1[[#This Row],[math score]:[writing score]])</f>
        <v>156</v>
      </c>
      <c r="K59" s="1">
        <f>Table1[[#This Row],[total score]]/3</f>
        <v>52</v>
      </c>
      <c r="L59" s="6" t="str">
        <f>VLOOKUP(Table1[[#This Row],[average score]],$AE$9:$AF$13,2,TRUE)</f>
        <v>F</v>
      </c>
      <c r="M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9" s="2" t="str">
        <f>IF(OR(Table1[[#This Row],[math score]]&lt;$AC$5,Table1[[#This Row],[reading score]]&lt;$AC$5,Table1[[#This Row],[writing score]]&lt;$AC$5), "Failed atleast one", "Passed all")</f>
        <v>Failed atleast one</v>
      </c>
      <c r="O59" t="str">
        <f>VLOOKUP(Table1[[#This Row],[average score]],$AE$9:$AG$13,3,TRUE)</f>
        <v>Poor</v>
      </c>
    </row>
    <row r="60" spans="1:15" x14ac:dyDescent="0.2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t="s">
        <v>94</v>
      </c>
      <c r="J60">
        <f>SUM(Table1[[#This Row],[math score]:[writing score]])</f>
        <v>175</v>
      </c>
      <c r="K60" s="1">
        <f>Table1[[#This Row],[total score]]/3</f>
        <v>58.333333333333336</v>
      </c>
      <c r="L60" s="6" t="str">
        <f>VLOOKUP(Table1[[#This Row],[average score]],$AE$9:$AF$13,2,TRUE)</f>
        <v>F</v>
      </c>
      <c r="M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0" s="2" t="str">
        <f>IF(OR(Table1[[#This Row],[math score]]&lt;$AC$5,Table1[[#This Row],[reading score]]&lt;$AC$5,Table1[[#This Row],[writing score]]&lt;$AC$5), "Failed atleast one", "Passed all")</f>
        <v>Failed atleast one</v>
      </c>
      <c r="O60" t="str">
        <f>VLOOKUP(Table1[[#This Row],[average score]],$AE$9:$AG$13,3,TRUE)</f>
        <v>Poor</v>
      </c>
    </row>
    <row r="61" spans="1:15" x14ac:dyDescent="0.2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t="s">
        <v>95</v>
      </c>
      <c r="J61">
        <f>SUM(Table1[[#This Row],[math score]:[writing score]])</f>
        <v>27</v>
      </c>
      <c r="K61" s="1">
        <f>Table1[[#This Row],[total score]]/3</f>
        <v>9</v>
      </c>
      <c r="L61" s="6" t="str">
        <f>VLOOKUP(Table1[[#This Row],[average score]],$AE$9:$AF$13,2,TRUE)</f>
        <v>F</v>
      </c>
      <c r="M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1" s="2" t="str">
        <f>IF(OR(Table1[[#This Row],[math score]]&lt;$AC$5,Table1[[#This Row],[reading score]]&lt;$AC$5,Table1[[#This Row],[writing score]]&lt;$AC$5), "Failed atleast one", "Passed all")</f>
        <v>Failed atleast one</v>
      </c>
      <c r="O61" t="str">
        <f>VLOOKUP(Table1[[#This Row],[average score]],$AE$9:$AG$13,3,TRUE)</f>
        <v>Poor</v>
      </c>
    </row>
    <row r="62" spans="1:15" x14ac:dyDescent="0.2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t="s">
        <v>96</v>
      </c>
      <c r="J62">
        <f>SUM(Table1[[#This Row],[math score]:[writing score]])</f>
        <v>225</v>
      </c>
      <c r="K62" s="1">
        <f>Table1[[#This Row],[total score]]/3</f>
        <v>75</v>
      </c>
      <c r="L62" s="6" t="str">
        <f>VLOOKUP(Table1[[#This Row],[average score]],$AE$9:$AF$13,2,TRUE)</f>
        <v>C</v>
      </c>
      <c r="M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2" s="2" t="str">
        <f>IF(OR(Table1[[#This Row],[math score]]&lt;$AC$5,Table1[[#This Row],[reading score]]&lt;$AC$5,Table1[[#This Row],[writing score]]&lt;$AC$5), "Failed atleast one", "Passed all")</f>
        <v>Passed all</v>
      </c>
      <c r="O62" t="str">
        <f>VLOOKUP(Table1[[#This Row],[average score]],$AE$9:$AG$13,3,TRUE)</f>
        <v>Satisfactory</v>
      </c>
    </row>
    <row r="63" spans="1:15" x14ac:dyDescent="0.2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t="s">
        <v>97</v>
      </c>
      <c r="J63">
        <f>SUM(Table1[[#This Row],[math score]:[writing score]])</f>
        <v>112</v>
      </c>
      <c r="K63" s="1">
        <f>Table1[[#This Row],[total score]]/3</f>
        <v>37.333333333333336</v>
      </c>
      <c r="L63" s="6" t="str">
        <f>VLOOKUP(Table1[[#This Row],[average score]],$AE$9:$AF$13,2,TRUE)</f>
        <v>F</v>
      </c>
      <c r="M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3" s="2" t="str">
        <f>IF(OR(Table1[[#This Row],[math score]]&lt;$AC$5,Table1[[#This Row],[reading score]]&lt;$AC$5,Table1[[#This Row],[writing score]]&lt;$AC$5), "Failed atleast one", "Passed all")</f>
        <v>Failed atleast one</v>
      </c>
      <c r="O63" t="str">
        <f>VLOOKUP(Table1[[#This Row],[average score]],$AE$9:$AG$13,3,TRUE)</f>
        <v>Poor</v>
      </c>
    </row>
    <row r="64" spans="1:15" x14ac:dyDescent="0.2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t="s">
        <v>98</v>
      </c>
      <c r="J64">
        <f>SUM(Table1[[#This Row],[math score]:[writing score]])</f>
        <v>178</v>
      </c>
      <c r="K64" s="1">
        <f>Table1[[#This Row],[total score]]/3</f>
        <v>59.333333333333336</v>
      </c>
      <c r="L64" s="6" t="str">
        <f>VLOOKUP(Table1[[#This Row],[average score]],$AE$9:$AF$13,2,TRUE)</f>
        <v>F</v>
      </c>
      <c r="M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4" s="2" t="str">
        <f>IF(OR(Table1[[#This Row],[math score]]&lt;$AC$5,Table1[[#This Row],[reading score]]&lt;$AC$5,Table1[[#This Row],[writing score]]&lt;$AC$5), "Failed atleast one", "Passed all")</f>
        <v>Failed atleast one</v>
      </c>
      <c r="O64" t="str">
        <f>VLOOKUP(Table1[[#This Row],[average score]],$AE$9:$AG$13,3,TRUE)</f>
        <v>Poor</v>
      </c>
    </row>
    <row r="65" spans="1:15" x14ac:dyDescent="0.2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t="s">
        <v>99</v>
      </c>
      <c r="J65">
        <f>SUM(Table1[[#This Row],[math score]:[writing score]])</f>
        <v>220</v>
      </c>
      <c r="K65" s="1">
        <f>Table1[[#This Row],[total score]]/3</f>
        <v>73.333333333333329</v>
      </c>
      <c r="L65" s="6" t="str">
        <f>VLOOKUP(Table1[[#This Row],[average score]],$AE$9:$AF$13,2,TRUE)</f>
        <v>C</v>
      </c>
      <c r="M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5" s="2" t="str">
        <f>IF(OR(Table1[[#This Row],[math score]]&lt;$AC$5,Table1[[#This Row],[reading score]]&lt;$AC$5,Table1[[#This Row],[writing score]]&lt;$AC$5), "Failed atleast one", "Passed all")</f>
        <v>Passed all</v>
      </c>
      <c r="O65" t="str">
        <f>VLOOKUP(Table1[[#This Row],[average score]],$AE$9:$AG$13,3,TRUE)</f>
        <v>Satisfactory</v>
      </c>
    </row>
    <row r="66" spans="1:15" x14ac:dyDescent="0.2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t="s">
        <v>100</v>
      </c>
      <c r="J66">
        <f>SUM(Table1[[#This Row],[math score]:[writing score]])</f>
        <v>176</v>
      </c>
      <c r="K66" s="1">
        <f>Table1[[#This Row],[total score]]/3</f>
        <v>58.666666666666664</v>
      </c>
      <c r="L66" s="6" t="str">
        <f>VLOOKUP(Table1[[#This Row],[average score]],$AE$9:$AF$13,2,TRUE)</f>
        <v>F</v>
      </c>
      <c r="M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6" s="2" t="str">
        <f>IF(OR(Table1[[#This Row],[math score]]&lt;$AC$5,Table1[[#This Row],[reading score]]&lt;$AC$5,Table1[[#This Row],[writing score]]&lt;$AC$5), "Failed atleast one", "Passed all")</f>
        <v>Failed atleast one</v>
      </c>
      <c r="O66" t="str">
        <f>VLOOKUP(Table1[[#This Row],[average score]],$AE$9:$AG$13,3,TRUE)</f>
        <v>Poor</v>
      </c>
    </row>
    <row r="67" spans="1:15" x14ac:dyDescent="0.2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t="s">
        <v>101</v>
      </c>
      <c r="J67">
        <f>SUM(Table1[[#This Row],[math score]:[writing score]])</f>
        <v>192</v>
      </c>
      <c r="K67" s="1">
        <f>Table1[[#This Row],[total score]]/3</f>
        <v>64</v>
      </c>
      <c r="L67" s="6" t="str">
        <f>VLOOKUP(Table1[[#This Row],[average score]],$AE$9:$AF$13,2,TRUE)</f>
        <v>D</v>
      </c>
      <c r="M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7" s="2" t="str">
        <f>IF(OR(Table1[[#This Row],[math score]]&lt;$AC$5,Table1[[#This Row],[reading score]]&lt;$AC$5,Table1[[#This Row],[writing score]]&lt;$AC$5), "Failed atleast one", "Passed all")</f>
        <v>Passed all</v>
      </c>
      <c r="O67" t="str">
        <f>VLOOKUP(Table1[[#This Row],[average score]],$AE$9:$AG$13,3,TRUE)</f>
        <v>Needs improvements</v>
      </c>
    </row>
    <row r="68" spans="1:15" x14ac:dyDescent="0.2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t="s">
        <v>102</v>
      </c>
      <c r="J68">
        <f>SUM(Table1[[#This Row],[math score]:[writing score]])</f>
        <v>119</v>
      </c>
      <c r="K68" s="1">
        <f>Table1[[#This Row],[total score]]/3</f>
        <v>39.666666666666664</v>
      </c>
      <c r="L68" s="6" t="str">
        <f>VLOOKUP(Table1[[#This Row],[average score]],$AE$9:$AF$13,2,TRUE)</f>
        <v>F</v>
      </c>
      <c r="M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8" s="2" t="str">
        <f>IF(OR(Table1[[#This Row],[math score]]&lt;$AC$5,Table1[[#This Row],[reading score]]&lt;$AC$5,Table1[[#This Row],[writing score]]&lt;$AC$5), "Failed atleast one", "Passed all")</f>
        <v>Failed atleast one</v>
      </c>
      <c r="O68" t="str">
        <f>VLOOKUP(Table1[[#This Row],[average score]],$AE$9:$AG$13,3,TRUE)</f>
        <v>Poor</v>
      </c>
    </row>
    <row r="69" spans="1:15" x14ac:dyDescent="0.2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t="s">
        <v>103</v>
      </c>
      <c r="J69">
        <f>SUM(Table1[[#This Row],[math score]:[writing score]])</f>
        <v>206</v>
      </c>
      <c r="K69" s="1">
        <f>Table1[[#This Row],[total score]]/3</f>
        <v>68.666666666666671</v>
      </c>
      <c r="L69" s="6" t="str">
        <f>VLOOKUP(Table1[[#This Row],[average score]],$AE$9:$AF$13,2,TRUE)</f>
        <v>D</v>
      </c>
      <c r="M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9" s="2" t="str">
        <f>IF(OR(Table1[[#This Row],[math score]]&lt;$AC$5,Table1[[#This Row],[reading score]]&lt;$AC$5,Table1[[#This Row],[writing score]]&lt;$AC$5), "Failed atleast one", "Passed all")</f>
        <v>Passed all</v>
      </c>
      <c r="O69" t="str">
        <f>VLOOKUP(Table1[[#This Row],[average score]],$AE$9:$AG$13,3,TRUE)</f>
        <v>Needs improvements</v>
      </c>
    </row>
    <row r="70" spans="1:15" x14ac:dyDescent="0.2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t="s">
        <v>104</v>
      </c>
      <c r="J70">
        <f>SUM(Table1[[#This Row],[math score]:[writing score]])</f>
        <v>175</v>
      </c>
      <c r="K70" s="1">
        <f>Table1[[#This Row],[total score]]/3</f>
        <v>58.333333333333336</v>
      </c>
      <c r="L70" s="6" t="str">
        <f>VLOOKUP(Table1[[#This Row],[average score]],$AE$9:$AF$13,2,TRUE)</f>
        <v>F</v>
      </c>
      <c r="M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0" s="2" t="str">
        <f>IF(OR(Table1[[#This Row],[math score]]&lt;$AC$5,Table1[[#This Row],[reading score]]&lt;$AC$5,Table1[[#This Row],[writing score]]&lt;$AC$5), "Failed atleast one", "Passed all")</f>
        <v>Failed atleast one</v>
      </c>
      <c r="O70" t="str">
        <f>VLOOKUP(Table1[[#This Row],[average score]],$AE$9:$AG$13,3,TRUE)</f>
        <v>Poor</v>
      </c>
    </row>
    <row r="71" spans="1:15" x14ac:dyDescent="0.2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t="s">
        <v>105</v>
      </c>
      <c r="J71">
        <f>SUM(Table1[[#This Row],[math score]:[writing score]])</f>
        <v>160</v>
      </c>
      <c r="K71" s="1">
        <f>Table1[[#This Row],[total score]]/3</f>
        <v>53.333333333333336</v>
      </c>
      <c r="L71" s="6" t="str">
        <f>VLOOKUP(Table1[[#This Row],[average score]],$AE$9:$AF$13,2,TRUE)</f>
        <v>F</v>
      </c>
      <c r="M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1" s="2" t="str">
        <f>IF(OR(Table1[[#This Row],[math score]]&lt;$AC$5,Table1[[#This Row],[reading score]]&lt;$AC$5,Table1[[#This Row],[writing score]]&lt;$AC$5), "Failed atleast one", "Passed all")</f>
        <v>Failed atleast one</v>
      </c>
      <c r="O71" t="str">
        <f>VLOOKUP(Table1[[#This Row],[average score]],$AE$9:$AG$13,3,TRUE)</f>
        <v>Poor</v>
      </c>
    </row>
    <row r="72" spans="1:15" x14ac:dyDescent="0.2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t="s">
        <v>106</v>
      </c>
      <c r="J72">
        <f>SUM(Table1[[#This Row],[math score]:[writing score]])</f>
        <v>194</v>
      </c>
      <c r="K72" s="1">
        <f>Table1[[#This Row],[total score]]/3</f>
        <v>64.666666666666671</v>
      </c>
      <c r="L72" s="6" t="str">
        <f>VLOOKUP(Table1[[#This Row],[average score]],$AE$9:$AF$13,2,TRUE)</f>
        <v>D</v>
      </c>
      <c r="M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2" s="2" t="str">
        <f>IF(OR(Table1[[#This Row],[math score]]&lt;$AC$5,Table1[[#This Row],[reading score]]&lt;$AC$5,Table1[[#This Row],[writing score]]&lt;$AC$5), "Failed atleast one", "Passed all")</f>
        <v>Failed atleast one</v>
      </c>
      <c r="O72" t="str">
        <f>VLOOKUP(Table1[[#This Row],[average score]],$AE$9:$AG$13,3,TRUE)</f>
        <v>Needs improvements</v>
      </c>
    </row>
    <row r="73" spans="1:15" x14ac:dyDescent="0.2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t="s">
        <v>107</v>
      </c>
      <c r="J73">
        <f>SUM(Table1[[#This Row],[math score]:[writing score]])</f>
        <v>181</v>
      </c>
      <c r="K73" s="1">
        <f>Table1[[#This Row],[total score]]/3</f>
        <v>60.333333333333336</v>
      </c>
      <c r="L73" s="6" t="str">
        <f>VLOOKUP(Table1[[#This Row],[average score]],$AE$9:$AF$13,2,TRUE)</f>
        <v>D</v>
      </c>
      <c r="M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3" s="2" t="str">
        <f>IF(OR(Table1[[#This Row],[math score]]&lt;$AC$5,Table1[[#This Row],[reading score]]&lt;$AC$5,Table1[[#This Row],[writing score]]&lt;$AC$5), "Failed atleast one", "Passed all")</f>
        <v>Failed atleast one</v>
      </c>
      <c r="O73" t="str">
        <f>VLOOKUP(Table1[[#This Row],[average score]],$AE$9:$AG$13,3,TRUE)</f>
        <v>Needs improvements</v>
      </c>
    </row>
    <row r="74" spans="1:15" x14ac:dyDescent="0.2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t="s">
        <v>108</v>
      </c>
      <c r="J74">
        <f>SUM(Table1[[#This Row],[math score]:[writing score]])</f>
        <v>140</v>
      </c>
      <c r="K74" s="1">
        <f>Table1[[#This Row],[total score]]/3</f>
        <v>46.666666666666664</v>
      </c>
      <c r="L74" s="6" t="str">
        <f>VLOOKUP(Table1[[#This Row],[average score]],$AE$9:$AF$13,2,TRUE)</f>
        <v>F</v>
      </c>
      <c r="M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4" s="2" t="str">
        <f>IF(OR(Table1[[#This Row],[math score]]&lt;$AC$5,Table1[[#This Row],[reading score]]&lt;$AC$5,Table1[[#This Row],[writing score]]&lt;$AC$5), "Failed atleast one", "Passed all")</f>
        <v>Failed atleast one</v>
      </c>
      <c r="O74" t="str">
        <f>VLOOKUP(Table1[[#This Row],[average score]],$AE$9:$AG$13,3,TRUE)</f>
        <v>Poor</v>
      </c>
    </row>
    <row r="75" spans="1:15" x14ac:dyDescent="0.2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t="s">
        <v>109</v>
      </c>
      <c r="J75">
        <f>SUM(Table1[[#This Row],[math score]:[writing score]])</f>
        <v>174</v>
      </c>
      <c r="K75" s="1">
        <f>Table1[[#This Row],[total score]]/3</f>
        <v>58</v>
      </c>
      <c r="L75" s="6" t="str">
        <f>VLOOKUP(Table1[[#This Row],[average score]],$AE$9:$AF$13,2,TRUE)</f>
        <v>F</v>
      </c>
      <c r="M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5" s="2" t="str">
        <f>IF(OR(Table1[[#This Row],[math score]]&lt;$AC$5,Table1[[#This Row],[reading score]]&lt;$AC$5,Table1[[#This Row],[writing score]]&lt;$AC$5), "Failed atleast one", "Passed all")</f>
        <v>Failed atleast one</v>
      </c>
      <c r="O75" t="str">
        <f>VLOOKUP(Table1[[#This Row],[average score]],$AE$9:$AG$13,3,TRUE)</f>
        <v>Poor</v>
      </c>
    </row>
    <row r="76" spans="1:15" x14ac:dyDescent="0.2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t="s">
        <v>110</v>
      </c>
      <c r="J76">
        <f>SUM(Table1[[#This Row],[math score]:[writing score]])</f>
        <v>139</v>
      </c>
      <c r="K76" s="1">
        <f>Table1[[#This Row],[total score]]/3</f>
        <v>46.333333333333336</v>
      </c>
      <c r="L76" s="6" t="str">
        <f>VLOOKUP(Table1[[#This Row],[average score]],$AE$9:$AF$13,2,TRUE)</f>
        <v>F</v>
      </c>
      <c r="M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6" s="2" t="str">
        <f>IF(OR(Table1[[#This Row],[math score]]&lt;$AC$5,Table1[[#This Row],[reading score]]&lt;$AC$5,Table1[[#This Row],[writing score]]&lt;$AC$5), "Failed atleast one", "Passed all")</f>
        <v>Failed atleast one</v>
      </c>
      <c r="O76" t="str">
        <f>VLOOKUP(Table1[[#This Row],[average score]],$AE$9:$AG$13,3,TRUE)</f>
        <v>Poor</v>
      </c>
    </row>
    <row r="77" spans="1:15" x14ac:dyDescent="0.2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t="s">
        <v>111</v>
      </c>
      <c r="J77">
        <f>SUM(Table1[[#This Row],[math score]:[writing score]])</f>
        <v>123</v>
      </c>
      <c r="K77" s="1">
        <f>Table1[[#This Row],[total score]]/3</f>
        <v>41</v>
      </c>
      <c r="L77" s="6" t="str">
        <f>VLOOKUP(Table1[[#This Row],[average score]],$AE$9:$AF$13,2,TRUE)</f>
        <v>F</v>
      </c>
      <c r="M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7" s="2" t="str">
        <f>IF(OR(Table1[[#This Row],[math score]]&lt;$AC$5,Table1[[#This Row],[reading score]]&lt;$AC$5,Table1[[#This Row],[writing score]]&lt;$AC$5), "Failed atleast one", "Passed all")</f>
        <v>Failed atleast one</v>
      </c>
      <c r="O77" t="str">
        <f>VLOOKUP(Table1[[#This Row],[average score]],$AE$9:$AG$13,3,TRUE)</f>
        <v>Poor</v>
      </c>
    </row>
    <row r="78" spans="1:15" x14ac:dyDescent="0.2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t="s">
        <v>112</v>
      </c>
      <c r="J78">
        <f>SUM(Table1[[#This Row],[math score]:[writing score]])</f>
        <v>78</v>
      </c>
      <c r="K78" s="1">
        <f>Table1[[#This Row],[total score]]/3</f>
        <v>26</v>
      </c>
      <c r="L78" s="6" t="str">
        <f>VLOOKUP(Table1[[#This Row],[average score]],$AE$9:$AF$13,2,TRUE)</f>
        <v>F</v>
      </c>
      <c r="M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8" s="2" t="str">
        <f>IF(OR(Table1[[#This Row],[math score]]&lt;$AC$5,Table1[[#This Row],[reading score]]&lt;$AC$5,Table1[[#This Row],[writing score]]&lt;$AC$5), "Failed atleast one", "Passed all")</f>
        <v>Failed atleast one</v>
      </c>
      <c r="O78" t="str">
        <f>VLOOKUP(Table1[[#This Row],[average score]],$AE$9:$AG$13,3,TRUE)</f>
        <v>Poor</v>
      </c>
    </row>
    <row r="79" spans="1:15" x14ac:dyDescent="0.2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t="s">
        <v>113</v>
      </c>
      <c r="J79">
        <f>SUM(Table1[[#This Row],[math score]:[writing score]])</f>
        <v>239</v>
      </c>
      <c r="K79" s="1">
        <f>Table1[[#This Row],[total score]]/3</f>
        <v>79.666666666666671</v>
      </c>
      <c r="L79" s="6" t="str">
        <f>VLOOKUP(Table1[[#This Row],[average score]],$AE$9:$AF$13,2,TRUE)</f>
        <v>C</v>
      </c>
      <c r="M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9" s="2" t="str">
        <f>IF(OR(Table1[[#This Row],[math score]]&lt;$AC$5,Table1[[#This Row],[reading score]]&lt;$AC$5,Table1[[#This Row],[writing score]]&lt;$AC$5), "Failed atleast one", "Passed all")</f>
        <v>Passed all</v>
      </c>
      <c r="O79" t="str">
        <f>VLOOKUP(Table1[[#This Row],[average score]],$AE$9:$AG$13,3,TRUE)</f>
        <v>Satisfactory</v>
      </c>
    </row>
    <row r="80" spans="1:15" x14ac:dyDescent="0.2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t="s">
        <v>114</v>
      </c>
      <c r="J80">
        <f>SUM(Table1[[#This Row],[math score]:[writing score]])</f>
        <v>207</v>
      </c>
      <c r="K80" s="1">
        <f>Table1[[#This Row],[total score]]/3</f>
        <v>69</v>
      </c>
      <c r="L80" s="6" t="str">
        <f>VLOOKUP(Table1[[#This Row],[average score]],$AE$9:$AF$13,2,TRUE)</f>
        <v>D</v>
      </c>
      <c r="M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0" s="2" t="str">
        <f>IF(OR(Table1[[#This Row],[math score]]&lt;$AC$5,Table1[[#This Row],[reading score]]&lt;$AC$5,Table1[[#This Row],[writing score]]&lt;$AC$5), "Failed atleast one", "Passed all")</f>
        <v>Passed all</v>
      </c>
      <c r="O80" t="str">
        <f>VLOOKUP(Table1[[#This Row],[average score]],$AE$9:$AG$13,3,TRUE)</f>
        <v>Needs improvements</v>
      </c>
    </row>
    <row r="81" spans="1:15" x14ac:dyDescent="0.2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t="s">
        <v>115</v>
      </c>
      <c r="J81">
        <f>SUM(Table1[[#This Row],[math score]:[writing score]])</f>
        <v>198</v>
      </c>
      <c r="K81" s="1">
        <f>Table1[[#This Row],[total score]]/3</f>
        <v>66</v>
      </c>
      <c r="L81" s="6" t="str">
        <f>VLOOKUP(Table1[[#This Row],[average score]],$AE$9:$AF$13,2,TRUE)</f>
        <v>D</v>
      </c>
      <c r="M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1" s="2" t="str">
        <f>IF(OR(Table1[[#This Row],[math score]]&lt;$AC$5,Table1[[#This Row],[reading score]]&lt;$AC$5,Table1[[#This Row],[writing score]]&lt;$AC$5), "Failed atleast one", "Passed all")</f>
        <v>Passed all</v>
      </c>
      <c r="O81" t="str">
        <f>VLOOKUP(Table1[[#This Row],[average score]],$AE$9:$AG$13,3,TRUE)</f>
        <v>Needs improvements</v>
      </c>
    </row>
    <row r="82" spans="1:15" x14ac:dyDescent="0.2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t="s">
        <v>116</v>
      </c>
      <c r="J82">
        <f>SUM(Table1[[#This Row],[math score]:[writing score]])</f>
        <v>146</v>
      </c>
      <c r="K82" s="1">
        <f>Table1[[#This Row],[total score]]/3</f>
        <v>48.666666666666664</v>
      </c>
      <c r="L82" s="6" t="str">
        <f>VLOOKUP(Table1[[#This Row],[average score]],$AE$9:$AF$13,2,TRUE)</f>
        <v>F</v>
      </c>
      <c r="M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2" s="2" t="str">
        <f>IF(OR(Table1[[#This Row],[math score]]&lt;$AC$5,Table1[[#This Row],[reading score]]&lt;$AC$5,Table1[[#This Row],[writing score]]&lt;$AC$5), "Failed atleast one", "Passed all")</f>
        <v>Failed atleast one</v>
      </c>
      <c r="O82" t="str">
        <f>VLOOKUP(Table1[[#This Row],[average score]],$AE$9:$AG$13,3,TRUE)</f>
        <v>Poor</v>
      </c>
    </row>
    <row r="83" spans="1:15" x14ac:dyDescent="0.2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t="s">
        <v>117</v>
      </c>
      <c r="J83">
        <f>SUM(Table1[[#This Row],[math score]:[writing score]])</f>
        <v>139</v>
      </c>
      <c r="K83" s="1">
        <f>Table1[[#This Row],[total score]]/3</f>
        <v>46.333333333333336</v>
      </c>
      <c r="L83" s="6" t="str">
        <f>VLOOKUP(Table1[[#This Row],[average score]],$AE$9:$AF$13,2,TRUE)</f>
        <v>F</v>
      </c>
      <c r="M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3" s="2" t="str">
        <f>IF(OR(Table1[[#This Row],[math score]]&lt;$AC$5,Table1[[#This Row],[reading score]]&lt;$AC$5,Table1[[#This Row],[writing score]]&lt;$AC$5), "Failed atleast one", "Passed all")</f>
        <v>Failed atleast one</v>
      </c>
      <c r="O83" t="str">
        <f>VLOOKUP(Table1[[#This Row],[average score]],$AE$9:$AG$13,3,TRUE)</f>
        <v>Poor</v>
      </c>
    </row>
    <row r="84" spans="1:15" x14ac:dyDescent="0.2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t="s">
        <v>118</v>
      </c>
      <c r="J84">
        <f>SUM(Table1[[#This Row],[math score]:[writing score]])</f>
        <v>151</v>
      </c>
      <c r="K84" s="1">
        <f>Table1[[#This Row],[total score]]/3</f>
        <v>50.333333333333336</v>
      </c>
      <c r="L84" s="6" t="str">
        <f>VLOOKUP(Table1[[#This Row],[average score]],$AE$9:$AF$13,2,TRUE)</f>
        <v>F</v>
      </c>
      <c r="M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" s="2" t="str">
        <f>IF(OR(Table1[[#This Row],[math score]]&lt;$AC$5,Table1[[#This Row],[reading score]]&lt;$AC$5,Table1[[#This Row],[writing score]]&lt;$AC$5), "Failed atleast one", "Passed all")</f>
        <v>Failed atleast one</v>
      </c>
      <c r="O84" t="str">
        <f>VLOOKUP(Table1[[#This Row],[average score]],$AE$9:$AG$13,3,TRUE)</f>
        <v>Poor</v>
      </c>
    </row>
    <row r="85" spans="1:15" x14ac:dyDescent="0.2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t="s">
        <v>119</v>
      </c>
      <c r="J85">
        <f>SUM(Table1[[#This Row],[math score]:[writing score]])</f>
        <v>199</v>
      </c>
      <c r="K85" s="1">
        <f>Table1[[#This Row],[total score]]/3</f>
        <v>66.333333333333329</v>
      </c>
      <c r="L85" s="6" t="str">
        <f>VLOOKUP(Table1[[#This Row],[average score]],$AE$9:$AF$13,2,TRUE)</f>
        <v>D</v>
      </c>
      <c r="M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" s="2" t="str">
        <f>IF(OR(Table1[[#This Row],[math score]]&lt;$AC$5,Table1[[#This Row],[reading score]]&lt;$AC$5,Table1[[#This Row],[writing score]]&lt;$AC$5), "Failed atleast one", "Passed all")</f>
        <v>Passed all</v>
      </c>
      <c r="O85" t="str">
        <f>VLOOKUP(Table1[[#This Row],[average score]],$AE$9:$AG$13,3,TRUE)</f>
        <v>Needs improvements</v>
      </c>
    </row>
    <row r="86" spans="1:15" x14ac:dyDescent="0.2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t="s">
        <v>120</v>
      </c>
      <c r="J86">
        <f>SUM(Table1[[#This Row],[math score]:[writing score]])</f>
        <v>115</v>
      </c>
      <c r="K86" s="1">
        <f>Table1[[#This Row],[total score]]/3</f>
        <v>38.333333333333336</v>
      </c>
      <c r="L86" s="6" t="str">
        <f>VLOOKUP(Table1[[#This Row],[average score]],$AE$9:$AF$13,2,TRUE)</f>
        <v>F</v>
      </c>
      <c r="M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" s="2" t="str">
        <f>IF(OR(Table1[[#This Row],[math score]]&lt;$AC$5,Table1[[#This Row],[reading score]]&lt;$AC$5,Table1[[#This Row],[writing score]]&lt;$AC$5), "Failed atleast one", "Passed all")</f>
        <v>Failed atleast one</v>
      </c>
      <c r="O86" t="str">
        <f>VLOOKUP(Table1[[#This Row],[average score]],$AE$9:$AG$13,3,TRUE)</f>
        <v>Poor</v>
      </c>
    </row>
    <row r="87" spans="1:15" x14ac:dyDescent="0.2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t="s">
        <v>121</v>
      </c>
      <c r="J87">
        <f>SUM(Table1[[#This Row],[math score]:[writing score]])</f>
        <v>235</v>
      </c>
      <c r="K87" s="1">
        <f>Table1[[#This Row],[total score]]/3</f>
        <v>78.333333333333329</v>
      </c>
      <c r="L87" s="6" t="str">
        <f>VLOOKUP(Table1[[#This Row],[average score]],$AE$9:$AF$13,2,TRUE)</f>
        <v>C</v>
      </c>
      <c r="M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7" s="2" t="str">
        <f>IF(OR(Table1[[#This Row],[math score]]&lt;$AC$5,Table1[[#This Row],[reading score]]&lt;$AC$5,Table1[[#This Row],[writing score]]&lt;$AC$5), "Failed atleast one", "Passed all")</f>
        <v>Passed all</v>
      </c>
      <c r="O87" t="str">
        <f>VLOOKUP(Table1[[#This Row],[average score]],$AE$9:$AG$13,3,TRUE)</f>
        <v>Satisfactory</v>
      </c>
    </row>
    <row r="88" spans="1:15" x14ac:dyDescent="0.2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t="s">
        <v>122</v>
      </c>
      <c r="J88">
        <f>SUM(Table1[[#This Row],[math score]:[writing score]])</f>
        <v>247</v>
      </c>
      <c r="K88" s="1">
        <f>Table1[[#This Row],[total score]]/3</f>
        <v>82.333333333333329</v>
      </c>
      <c r="L88" s="6" t="str">
        <f>VLOOKUP(Table1[[#This Row],[average score]],$AE$9:$AF$13,2,TRUE)</f>
        <v>B</v>
      </c>
      <c r="M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8" s="2" t="str">
        <f>IF(OR(Table1[[#This Row],[math score]]&lt;$AC$5,Table1[[#This Row],[reading score]]&lt;$AC$5,Table1[[#This Row],[writing score]]&lt;$AC$5), "Failed atleast one", "Passed all")</f>
        <v>Passed all</v>
      </c>
      <c r="O88" t="str">
        <f>VLOOKUP(Table1[[#This Row],[average score]],$AE$9:$AG$13,3,TRUE)</f>
        <v xml:space="preserve">Good </v>
      </c>
    </row>
    <row r="89" spans="1:15" x14ac:dyDescent="0.2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t="s">
        <v>123</v>
      </c>
      <c r="J89">
        <f>SUM(Table1[[#This Row],[math score]:[writing score]])</f>
        <v>216</v>
      </c>
      <c r="K89" s="1">
        <f>Table1[[#This Row],[total score]]/3</f>
        <v>72</v>
      </c>
      <c r="L89" s="6" t="str">
        <f>VLOOKUP(Table1[[#This Row],[average score]],$AE$9:$AF$13,2,TRUE)</f>
        <v>C</v>
      </c>
      <c r="M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9" s="2" t="str">
        <f>IF(OR(Table1[[#This Row],[math score]]&lt;$AC$5,Table1[[#This Row],[reading score]]&lt;$AC$5,Table1[[#This Row],[writing score]]&lt;$AC$5), "Failed atleast one", "Passed all")</f>
        <v>Passed all</v>
      </c>
      <c r="O89" t="str">
        <f>VLOOKUP(Table1[[#This Row],[average score]],$AE$9:$AG$13,3,TRUE)</f>
        <v>Satisfactory</v>
      </c>
    </row>
    <row r="90" spans="1:15" x14ac:dyDescent="0.2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t="s">
        <v>124</v>
      </c>
      <c r="J90">
        <f>SUM(Table1[[#This Row],[math score]:[writing score]])</f>
        <v>195</v>
      </c>
      <c r="K90" s="1">
        <f>Table1[[#This Row],[total score]]/3</f>
        <v>65</v>
      </c>
      <c r="L90" s="6" t="str">
        <f>VLOOKUP(Table1[[#This Row],[average score]],$AE$9:$AF$13,2,TRUE)</f>
        <v>D</v>
      </c>
      <c r="M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0" s="2" t="str">
        <f>IF(OR(Table1[[#This Row],[math score]]&lt;$AC$5,Table1[[#This Row],[reading score]]&lt;$AC$5,Table1[[#This Row],[writing score]]&lt;$AC$5), "Failed atleast one", "Passed all")</f>
        <v>Failed atleast one</v>
      </c>
      <c r="O90" t="str">
        <f>VLOOKUP(Table1[[#This Row],[average score]],$AE$9:$AG$13,3,TRUE)</f>
        <v>Needs improvements</v>
      </c>
    </row>
    <row r="91" spans="1:15" x14ac:dyDescent="0.2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t="s">
        <v>125</v>
      </c>
      <c r="J91">
        <f>SUM(Table1[[#This Row],[math score]:[writing score]])</f>
        <v>241</v>
      </c>
      <c r="K91" s="1">
        <f>Table1[[#This Row],[total score]]/3</f>
        <v>80.333333333333329</v>
      </c>
      <c r="L91" s="6" t="str">
        <f>VLOOKUP(Table1[[#This Row],[average score]],$AE$9:$AF$13,2,TRUE)</f>
        <v>B</v>
      </c>
      <c r="M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1" s="2" t="str">
        <f>IF(OR(Table1[[#This Row],[math score]]&lt;$AC$5,Table1[[#This Row],[reading score]]&lt;$AC$5,Table1[[#This Row],[writing score]]&lt;$AC$5), "Failed atleast one", "Passed all")</f>
        <v>Passed all</v>
      </c>
      <c r="O91" t="str">
        <f>VLOOKUP(Table1[[#This Row],[average score]],$AE$9:$AG$13,3,TRUE)</f>
        <v xml:space="preserve">Good </v>
      </c>
    </row>
    <row r="92" spans="1:15" x14ac:dyDescent="0.2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t="s">
        <v>126</v>
      </c>
      <c r="J92">
        <f>SUM(Table1[[#This Row],[math score]:[writing score]])</f>
        <v>211</v>
      </c>
      <c r="K92" s="1">
        <f>Table1[[#This Row],[total score]]/3</f>
        <v>70.333333333333329</v>
      </c>
      <c r="L92" s="6" t="str">
        <f>VLOOKUP(Table1[[#This Row],[average score]],$AE$9:$AF$13,2,TRUE)</f>
        <v>C</v>
      </c>
      <c r="M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2" s="2" t="str">
        <f>IF(OR(Table1[[#This Row],[math score]]&lt;$AC$5,Table1[[#This Row],[reading score]]&lt;$AC$5,Table1[[#This Row],[writing score]]&lt;$AC$5), "Failed atleast one", "Passed all")</f>
        <v>Passed all</v>
      </c>
      <c r="O92" t="str">
        <f>VLOOKUP(Table1[[#This Row],[average score]],$AE$9:$AG$13,3,TRUE)</f>
        <v>Satisfactory</v>
      </c>
    </row>
    <row r="93" spans="1:15" x14ac:dyDescent="0.2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t="s">
        <v>127</v>
      </c>
      <c r="J93">
        <f>SUM(Table1[[#This Row],[math score]:[writing score]])</f>
        <v>97</v>
      </c>
      <c r="K93" s="1">
        <f>Table1[[#This Row],[total score]]/3</f>
        <v>32.333333333333336</v>
      </c>
      <c r="L93" s="6" t="str">
        <f>VLOOKUP(Table1[[#This Row],[average score]],$AE$9:$AF$13,2,TRUE)</f>
        <v>F</v>
      </c>
      <c r="M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3" s="2" t="str">
        <f>IF(OR(Table1[[#This Row],[math score]]&lt;$AC$5,Table1[[#This Row],[reading score]]&lt;$AC$5,Table1[[#This Row],[writing score]]&lt;$AC$5), "Failed atleast one", "Passed all")</f>
        <v>Failed atleast one</v>
      </c>
      <c r="O93" t="str">
        <f>VLOOKUP(Table1[[#This Row],[average score]],$AE$9:$AG$13,3,TRUE)</f>
        <v>Poor</v>
      </c>
    </row>
    <row r="94" spans="1:15" x14ac:dyDescent="0.2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t="s">
        <v>128</v>
      </c>
      <c r="J94">
        <f>SUM(Table1[[#This Row],[math score]:[writing score]])</f>
        <v>221</v>
      </c>
      <c r="K94" s="1">
        <f>Table1[[#This Row],[total score]]/3</f>
        <v>73.666666666666671</v>
      </c>
      <c r="L94" s="6" t="str">
        <f>VLOOKUP(Table1[[#This Row],[average score]],$AE$9:$AF$13,2,TRUE)</f>
        <v>C</v>
      </c>
      <c r="M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4" s="2" t="str">
        <f>IF(OR(Table1[[#This Row],[math score]]&lt;$AC$5,Table1[[#This Row],[reading score]]&lt;$AC$5,Table1[[#This Row],[writing score]]&lt;$AC$5), "Failed atleast one", "Passed all")</f>
        <v>Passed all</v>
      </c>
      <c r="O94" t="str">
        <f>VLOOKUP(Table1[[#This Row],[average score]],$AE$9:$AG$13,3,TRUE)</f>
        <v>Satisfactory</v>
      </c>
    </row>
    <row r="95" spans="1:15" x14ac:dyDescent="0.2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t="s">
        <v>129</v>
      </c>
      <c r="J95">
        <f>SUM(Table1[[#This Row],[math score]:[writing score]])</f>
        <v>138</v>
      </c>
      <c r="K95" s="1">
        <f>Table1[[#This Row],[total score]]/3</f>
        <v>46</v>
      </c>
      <c r="L95" s="6" t="str">
        <f>VLOOKUP(Table1[[#This Row],[average score]],$AE$9:$AF$13,2,TRUE)</f>
        <v>F</v>
      </c>
      <c r="M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5" s="2" t="str">
        <f>IF(OR(Table1[[#This Row],[math score]]&lt;$AC$5,Table1[[#This Row],[reading score]]&lt;$AC$5,Table1[[#This Row],[writing score]]&lt;$AC$5), "Failed atleast one", "Passed all")</f>
        <v>Failed atleast one</v>
      </c>
      <c r="O95" t="str">
        <f>VLOOKUP(Table1[[#This Row],[average score]],$AE$9:$AG$13,3,TRUE)</f>
        <v>Poor</v>
      </c>
    </row>
    <row r="96" spans="1:15" x14ac:dyDescent="0.2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t="s">
        <v>130</v>
      </c>
      <c r="J96">
        <f>SUM(Table1[[#This Row],[math score]:[writing score]])</f>
        <v>257</v>
      </c>
      <c r="K96" s="1">
        <f>Table1[[#This Row],[total score]]/3</f>
        <v>85.666666666666671</v>
      </c>
      <c r="L96" s="6" t="str">
        <f>VLOOKUP(Table1[[#This Row],[average score]],$AE$9:$AF$13,2,TRUE)</f>
        <v>B</v>
      </c>
      <c r="M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6" s="2" t="str">
        <f>IF(OR(Table1[[#This Row],[math score]]&lt;$AC$5,Table1[[#This Row],[reading score]]&lt;$AC$5,Table1[[#This Row],[writing score]]&lt;$AC$5), "Failed atleast one", "Passed all")</f>
        <v>Passed all</v>
      </c>
      <c r="O96" t="str">
        <f>VLOOKUP(Table1[[#This Row],[average score]],$AE$9:$AG$13,3,TRUE)</f>
        <v xml:space="preserve">Good </v>
      </c>
    </row>
    <row r="97" spans="1:15" x14ac:dyDescent="0.2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t="s">
        <v>131</v>
      </c>
      <c r="J97">
        <f>SUM(Table1[[#This Row],[math score]:[writing score]])</f>
        <v>241</v>
      </c>
      <c r="K97" s="1">
        <f>Table1[[#This Row],[total score]]/3</f>
        <v>80.333333333333329</v>
      </c>
      <c r="L97" s="6" t="str">
        <f>VLOOKUP(Table1[[#This Row],[average score]],$AE$9:$AF$13,2,TRUE)</f>
        <v>B</v>
      </c>
      <c r="M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7" s="2" t="str">
        <f>IF(OR(Table1[[#This Row],[math score]]&lt;$AC$5,Table1[[#This Row],[reading score]]&lt;$AC$5,Table1[[#This Row],[writing score]]&lt;$AC$5), "Failed atleast one", "Passed all")</f>
        <v>Passed all</v>
      </c>
      <c r="O97" t="str">
        <f>VLOOKUP(Table1[[#This Row],[average score]],$AE$9:$AG$13,3,TRUE)</f>
        <v xml:space="preserve">Good </v>
      </c>
    </row>
    <row r="98" spans="1:15" x14ac:dyDescent="0.2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t="s">
        <v>132</v>
      </c>
      <c r="J98">
        <f>SUM(Table1[[#This Row],[math score]:[writing score]])</f>
        <v>193</v>
      </c>
      <c r="K98" s="1">
        <f>Table1[[#This Row],[total score]]/3</f>
        <v>64.333333333333329</v>
      </c>
      <c r="L98" s="6" t="str">
        <f>VLOOKUP(Table1[[#This Row],[average score]],$AE$9:$AF$13,2,TRUE)</f>
        <v>D</v>
      </c>
      <c r="M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8" s="2" t="str">
        <f>IF(OR(Table1[[#This Row],[math score]]&lt;$AC$5,Table1[[#This Row],[reading score]]&lt;$AC$5,Table1[[#This Row],[writing score]]&lt;$AC$5), "Failed atleast one", "Passed all")</f>
        <v>Passed all</v>
      </c>
      <c r="O98" t="str">
        <f>VLOOKUP(Table1[[#This Row],[average score]],$AE$9:$AG$13,3,TRUE)</f>
        <v>Needs improvements</v>
      </c>
    </row>
    <row r="99" spans="1:15" x14ac:dyDescent="0.2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t="s">
        <v>133</v>
      </c>
      <c r="J99">
        <f>SUM(Table1[[#This Row],[math score]:[writing score]])</f>
        <v>205</v>
      </c>
      <c r="K99" s="1">
        <f>Table1[[#This Row],[total score]]/3</f>
        <v>68.333333333333329</v>
      </c>
      <c r="L99" s="6" t="str">
        <f>VLOOKUP(Table1[[#This Row],[average score]],$AE$9:$AF$13,2,TRUE)</f>
        <v>D</v>
      </c>
      <c r="M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9" s="2" t="str">
        <f>IF(OR(Table1[[#This Row],[math score]]&lt;$AC$5,Table1[[#This Row],[reading score]]&lt;$AC$5,Table1[[#This Row],[writing score]]&lt;$AC$5), "Failed atleast one", "Passed all")</f>
        <v>Passed all</v>
      </c>
      <c r="O99" t="str">
        <f>VLOOKUP(Table1[[#This Row],[average score]],$AE$9:$AG$13,3,TRUE)</f>
        <v>Needs improvements</v>
      </c>
    </row>
    <row r="100" spans="1:15" x14ac:dyDescent="0.2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t="s">
        <v>134</v>
      </c>
      <c r="J100">
        <f>SUM(Table1[[#This Row],[math score]:[writing score]])</f>
        <v>187</v>
      </c>
      <c r="K100" s="1">
        <f>Table1[[#This Row],[total score]]/3</f>
        <v>62.333333333333336</v>
      </c>
      <c r="L100" s="6" t="str">
        <f>VLOOKUP(Table1[[#This Row],[average score]],$AE$9:$AF$13,2,TRUE)</f>
        <v>D</v>
      </c>
      <c r="M1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00" s="2" t="str">
        <f>IF(OR(Table1[[#This Row],[math score]]&lt;$AC$5,Table1[[#This Row],[reading score]]&lt;$AC$5,Table1[[#This Row],[writing score]]&lt;$AC$5), "Failed atleast one", "Passed all")</f>
        <v>Failed atleast one</v>
      </c>
      <c r="O100" t="str">
        <f>VLOOKUP(Table1[[#This Row],[average score]],$AE$9:$AG$13,3,TRUE)</f>
        <v>Needs improvements</v>
      </c>
    </row>
    <row r="101" spans="1:15" x14ac:dyDescent="0.2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t="s">
        <v>135</v>
      </c>
      <c r="J101">
        <f>SUM(Table1[[#This Row],[math score]:[writing score]])</f>
        <v>194</v>
      </c>
      <c r="K101" s="1">
        <f>Table1[[#This Row],[total score]]/3</f>
        <v>64.666666666666671</v>
      </c>
      <c r="L101" s="6" t="str">
        <f>VLOOKUP(Table1[[#This Row],[average score]],$AE$9:$AF$13,2,TRUE)</f>
        <v>D</v>
      </c>
      <c r="M1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01" s="2" t="str">
        <f>IF(OR(Table1[[#This Row],[math score]]&lt;$AC$5,Table1[[#This Row],[reading score]]&lt;$AC$5,Table1[[#This Row],[writing score]]&lt;$AC$5), "Failed atleast one", "Passed all")</f>
        <v>Passed all</v>
      </c>
      <c r="O101" t="str">
        <f>VLOOKUP(Table1[[#This Row],[average score]],$AE$9:$AG$13,3,TRUE)</f>
        <v>Needs improvements</v>
      </c>
    </row>
    <row r="102" spans="1:15" x14ac:dyDescent="0.2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t="s">
        <v>136</v>
      </c>
      <c r="J102">
        <f>SUM(Table1[[#This Row],[math score]:[writing score]])</f>
        <v>213</v>
      </c>
      <c r="K102" s="1">
        <f>Table1[[#This Row],[total score]]/3</f>
        <v>71</v>
      </c>
      <c r="L102" s="6" t="str">
        <f>VLOOKUP(Table1[[#This Row],[average score]],$AE$9:$AF$13,2,TRUE)</f>
        <v>C</v>
      </c>
      <c r="M1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02" s="2" t="str">
        <f>IF(OR(Table1[[#This Row],[math score]]&lt;$AC$5,Table1[[#This Row],[reading score]]&lt;$AC$5,Table1[[#This Row],[writing score]]&lt;$AC$5), "Failed atleast one", "Passed all")</f>
        <v>Passed all</v>
      </c>
      <c r="O102" t="str">
        <f>VLOOKUP(Table1[[#This Row],[average score]],$AE$9:$AG$13,3,TRUE)</f>
        <v>Satisfactory</v>
      </c>
    </row>
    <row r="103" spans="1:15" x14ac:dyDescent="0.2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t="s">
        <v>137</v>
      </c>
      <c r="J103">
        <f>SUM(Table1[[#This Row],[math score]:[writing score]])</f>
        <v>216</v>
      </c>
      <c r="K103" s="1">
        <f>Table1[[#This Row],[total score]]/3</f>
        <v>72</v>
      </c>
      <c r="L103" s="6" t="str">
        <f>VLOOKUP(Table1[[#This Row],[average score]],$AE$9:$AF$13,2,TRUE)</f>
        <v>C</v>
      </c>
      <c r="M1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03" s="2" t="str">
        <f>IF(OR(Table1[[#This Row],[math score]]&lt;$AC$5,Table1[[#This Row],[reading score]]&lt;$AC$5,Table1[[#This Row],[writing score]]&lt;$AC$5), "Failed atleast one", "Passed all")</f>
        <v>Passed all</v>
      </c>
      <c r="O103" t="str">
        <f>VLOOKUP(Table1[[#This Row],[average score]],$AE$9:$AG$13,3,TRUE)</f>
        <v>Satisfactory</v>
      </c>
    </row>
    <row r="104" spans="1:15" x14ac:dyDescent="0.2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t="s">
        <v>138</v>
      </c>
      <c r="J104">
        <f>SUM(Table1[[#This Row],[math score]:[writing score]])</f>
        <v>265</v>
      </c>
      <c r="K104" s="1">
        <f>Table1[[#This Row],[total score]]/3</f>
        <v>88.333333333333329</v>
      </c>
      <c r="L104" s="6" t="str">
        <f>VLOOKUP(Table1[[#This Row],[average score]],$AE$9:$AF$13,2,TRUE)</f>
        <v>B</v>
      </c>
      <c r="M1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04" s="2" t="str">
        <f>IF(OR(Table1[[#This Row],[math score]]&lt;$AC$5,Table1[[#This Row],[reading score]]&lt;$AC$5,Table1[[#This Row],[writing score]]&lt;$AC$5), "Failed atleast one", "Passed all")</f>
        <v>Passed all</v>
      </c>
      <c r="O104" t="str">
        <f>VLOOKUP(Table1[[#This Row],[average score]],$AE$9:$AG$13,3,TRUE)</f>
        <v xml:space="preserve">Good </v>
      </c>
    </row>
    <row r="105" spans="1:15" x14ac:dyDescent="0.2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t="s">
        <v>139</v>
      </c>
      <c r="J105">
        <f>SUM(Table1[[#This Row],[math score]:[writing score]])</f>
        <v>151</v>
      </c>
      <c r="K105" s="1">
        <f>Table1[[#This Row],[total score]]/3</f>
        <v>50.333333333333336</v>
      </c>
      <c r="L105" s="6" t="str">
        <f>VLOOKUP(Table1[[#This Row],[average score]],$AE$9:$AF$13,2,TRUE)</f>
        <v>F</v>
      </c>
      <c r="M1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05" s="2" t="str">
        <f>IF(OR(Table1[[#This Row],[math score]]&lt;$AC$5,Table1[[#This Row],[reading score]]&lt;$AC$5,Table1[[#This Row],[writing score]]&lt;$AC$5), "Failed atleast one", "Passed all")</f>
        <v>Failed atleast one</v>
      </c>
      <c r="O105" t="str">
        <f>VLOOKUP(Table1[[#This Row],[average score]],$AE$9:$AG$13,3,TRUE)</f>
        <v>Poor</v>
      </c>
    </row>
    <row r="106" spans="1:15" x14ac:dyDescent="0.2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t="s">
        <v>140</v>
      </c>
      <c r="J106">
        <f>SUM(Table1[[#This Row],[math score]:[writing score]])</f>
        <v>274</v>
      </c>
      <c r="K106" s="1">
        <f>Table1[[#This Row],[total score]]/3</f>
        <v>91.333333333333329</v>
      </c>
      <c r="L106" s="6" t="str">
        <f>VLOOKUP(Table1[[#This Row],[average score]],$AE$9:$AF$13,2,TRUE)</f>
        <v>A</v>
      </c>
      <c r="M1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06" s="2" t="str">
        <f>IF(OR(Table1[[#This Row],[math score]]&lt;$AC$5,Table1[[#This Row],[reading score]]&lt;$AC$5,Table1[[#This Row],[writing score]]&lt;$AC$5), "Failed atleast one", "Passed all")</f>
        <v>Passed all</v>
      </c>
      <c r="O106" t="str">
        <f>VLOOKUP(Table1[[#This Row],[average score]],$AE$9:$AG$13,3,TRUE)</f>
        <v>Outstanding</v>
      </c>
    </row>
    <row r="107" spans="1:15" x14ac:dyDescent="0.2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t="s">
        <v>141</v>
      </c>
      <c r="J107">
        <f>SUM(Table1[[#This Row],[math score]:[writing score]])</f>
        <v>197</v>
      </c>
      <c r="K107" s="1">
        <f>Table1[[#This Row],[total score]]/3</f>
        <v>65.666666666666671</v>
      </c>
      <c r="L107" s="6" t="str">
        <f>VLOOKUP(Table1[[#This Row],[average score]],$AE$9:$AF$13,2,TRUE)</f>
        <v>D</v>
      </c>
      <c r="M1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07" s="2" t="str">
        <f>IF(OR(Table1[[#This Row],[math score]]&lt;$AC$5,Table1[[#This Row],[reading score]]&lt;$AC$5,Table1[[#This Row],[writing score]]&lt;$AC$5), "Failed atleast one", "Passed all")</f>
        <v>Failed atleast one</v>
      </c>
      <c r="O107" t="str">
        <f>VLOOKUP(Table1[[#This Row],[average score]],$AE$9:$AG$13,3,TRUE)</f>
        <v>Needs improvements</v>
      </c>
    </row>
    <row r="108" spans="1:15" x14ac:dyDescent="0.2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t="s">
        <v>142</v>
      </c>
      <c r="J108">
        <f>SUM(Table1[[#This Row],[math score]:[writing score]])</f>
        <v>287</v>
      </c>
      <c r="K108" s="1">
        <f>Table1[[#This Row],[total score]]/3</f>
        <v>95.666666666666671</v>
      </c>
      <c r="L108" s="6" t="str">
        <f>VLOOKUP(Table1[[#This Row],[average score]],$AE$9:$AF$13,2,TRUE)</f>
        <v>A</v>
      </c>
      <c r="M1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08" s="2" t="str">
        <f>IF(OR(Table1[[#This Row],[math score]]&lt;$AC$5,Table1[[#This Row],[reading score]]&lt;$AC$5,Table1[[#This Row],[writing score]]&lt;$AC$5), "Failed atleast one", "Passed all")</f>
        <v>Passed all</v>
      </c>
      <c r="O108" t="str">
        <f>VLOOKUP(Table1[[#This Row],[average score]],$AE$9:$AG$13,3,TRUE)</f>
        <v>Outstanding</v>
      </c>
    </row>
    <row r="109" spans="1:15" x14ac:dyDescent="0.2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t="s">
        <v>143</v>
      </c>
      <c r="J109">
        <f>SUM(Table1[[#This Row],[math score]:[writing score]])</f>
        <v>193</v>
      </c>
      <c r="K109" s="1">
        <f>Table1[[#This Row],[total score]]/3</f>
        <v>64.333333333333329</v>
      </c>
      <c r="L109" s="6" t="str">
        <f>VLOOKUP(Table1[[#This Row],[average score]],$AE$9:$AF$13,2,TRUE)</f>
        <v>D</v>
      </c>
      <c r="M1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09" s="2" t="str">
        <f>IF(OR(Table1[[#This Row],[math score]]&lt;$AC$5,Table1[[#This Row],[reading score]]&lt;$AC$5,Table1[[#This Row],[writing score]]&lt;$AC$5), "Failed atleast one", "Passed all")</f>
        <v>Passed all</v>
      </c>
      <c r="O109" t="str">
        <f>VLOOKUP(Table1[[#This Row],[average score]],$AE$9:$AG$13,3,TRUE)</f>
        <v>Needs improvements</v>
      </c>
    </row>
    <row r="110" spans="1:15" x14ac:dyDescent="0.2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t="s">
        <v>144</v>
      </c>
      <c r="J110">
        <f>SUM(Table1[[#This Row],[math score]:[writing score]])</f>
        <v>198</v>
      </c>
      <c r="K110" s="1">
        <f>Table1[[#This Row],[total score]]/3</f>
        <v>66</v>
      </c>
      <c r="L110" s="6" t="str">
        <f>VLOOKUP(Table1[[#This Row],[average score]],$AE$9:$AF$13,2,TRUE)</f>
        <v>D</v>
      </c>
      <c r="M1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10" s="2" t="str">
        <f>IF(OR(Table1[[#This Row],[math score]]&lt;$AC$5,Table1[[#This Row],[reading score]]&lt;$AC$5,Table1[[#This Row],[writing score]]&lt;$AC$5), "Failed atleast one", "Passed all")</f>
        <v>Failed atleast one</v>
      </c>
      <c r="O110" t="str">
        <f>VLOOKUP(Table1[[#This Row],[average score]],$AE$9:$AG$13,3,TRUE)</f>
        <v>Needs improvements</v>
      </c>
    </row>
    <row r="111" spans="1:15" x14ac:dyDescent="0.2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t="s">
        <v>145</v>
      </c>
      <c r="J111">
        <f>SUM(Table1[[#This Row],[math score]:[writing score]])</f>
        <v>206</v>
      </c>
      <c r="K111" s="1">
        <f>Table1[[#This Row],[total score]]/3</f>
        <v>68.666666666666671</v>
      </c>
      <c r="L111" s="6" t="str">
        <f>VLOOKUP(Table1[[#This Row],[average score]],$AE$9:$AF$13,2,TRUE)</f>
        <v>D</v>
      </c>
      <c r="M1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11" s="2" t="str">
        <f>IF(OR(Table1[[#This Row],[math score]]&lt;$AC$5,Table1[[#This Row],[reading score]]&lt;$AC$5,Table1[[#This Row],[writing score]]&lt;$AC$5), "Failed atleast one", "Passed all")</f>
        <v>Passed all</v>
      </c>
      <c r="O111" t="str">
        <f>VLOOKUP(Table1[[#This Row],[average score]],$AE$9:$AG$13,3,TRUE)</f>
        <v>Needs improvements</v>
      </c>
    </row>
    <row r="112" spans="1:15" x14ac:dyDescent="0.2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t="s">
        <v>146</v>
      </c>
      <c r="J112">
        <f>SUM(Table1[[#This Row],[math score]:[writing score]])</f>
        <v>264</v>
      </c>
      <c r="K112" s="1">
        <f>Table1[[#This Row],[total score]]/3</f>
        <v>88</v>
      </c>
      <c r="L112" s="6" t="str">
        <f>VLOOKUP(Table1[[#This Row],[average score]],$AE$9:$AF$13,2,TRUE)</f>
        <v>B</v>
      </c>
      <c r="M1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12" s="2" t="str">
        <f>IF(OR(Table1[[#This Row],[math score]]&lt;$AC$5,Table1[[#This Row],[reading score]]&lt;$AC$5,Table1[[#This Row],[writing score]]&lt;$AC$5), "Failed atleast one", "Passed all")</f>
        <v>Passed all</v>
      </c>
      <c r="O112" t="str">
        <f>VLOOKUP(Table1[[#This Row],[average score]],$AE$9:$AG$13,3,TRUE)</f>
        <v xml:space="preserve">Good </v>
      </c>
    </row>
    <row r="113" spans="1:15" x14ac:dyDescent="0.2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t="s">
        <v>147</v>
      </c>
      <c r="J113">
        <f>SUM(Table1[[#This Row],[math score]:[writing score]])</f>
        <v>166</v>
      </c>
      <c r="K113" s="1">
        <f>Table1[[#This Row],[total score]]/3</f>
        <v>55.333333333333336</v>
      </c>
      <c r="L113" s="6" t="str">
        <f>VLOOKUP(Table1[[#This Row],[average score]],$AE$9:$AF$13,2,TRUE)</f>
        <v>F</v>
      </c>
      <c r="M1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13" s="2" t="str">
        <f>IF(OR(Table1[[#This Row],[math score]]&lt;$AC$5,Table1[[#This Row],[reading score]]&lt;$AC$5,Table1[[#This Row],[writing score]]&lt;$AC$5), "Failed atleast one", "Passed all")</f>
        <v>Failed atleast one</v>
      </c>
      <c r="O113" t="str">
        <f>VLOOKUP(Table1[[#This Row],[average score]],$AE$9:$AG$13,3,TRUE)</f>
        <v>Poor</v>
      </c>
    </row>
    <row r="114" spans="1:15" x14ac:dyDescent="0.2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t="s">
        <v>148</v>
      </c>
      <c r="J114">
        <f>SUM(Table1[[#This Row],[math score]:[writing score]])</f>
        <v>154</v>
      </c>
      <c r="K114" s="1">
        <f>Table1[[#This Row],[total score]]/3</f>
        <v>51.333333333333336</v>
      </c>
      <c r="L114" s="6" t="str">
        <f>VLOOKUP(Table1[[#This Row],[average score]],$AE$9:$AF$13,2,TRUE)</f>
        <v>F</v>
      </c>
      <c r="M1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14" s="2" t="str">
        <f>IF(OR(Table1[[#This Row],[math score]]&lt;$AC$5,Table1[[#This Row],[reading score]]&lt;$AC$5,Table1[[#This Row],[writing score]]&lt;$AC$5), "Failed atleast one", "Passed all")</f>
        <v>Failed atleast one</v>
      </c>
      <c r="O114" t="str">
        <f>VLOOKUP(Table1[[#This Row],[average score]],$AE$9:$AG$13,3,TRUE)</f>
        <v>Poor</v>
      </c>
    </row>
    <row r="115" spans="1:15" x14ac:dyDescent="0.2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t="s">
        <v>149</v>
      </c>
      <c r="J115">
        <f>SUM(Table1[[#This Row],[math score]:[writing score]])</f>
        <v>163</v>
      </c>
      <c r="K115" s="1">
        <f>Table1[[#This Row],[total score]]/3</f>
        <v>54.333333333333336</v>
      </c>
      <c r="L115" s="6" t="str">
        <f>VLOOKUP(Table1[[#This Row],[average score]],$AE$9:$AF$13,2,TRUE)</f>
        <v>F</v>
      </c>
      <c r="M1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15" s="2" t="str">
        <f>IF(OR(Table1[[#This Row],[math score]]&lt;$AC$5,Table1[[#This Row],[reading score]]&lt;$AC$5,Table1[[#This Row],[writing score]]&lt;$AC$5), "Failed atleast one", "Passed all")</f>
        <v>Failed atleast one</v>
      </c>
      <c r="O115" t="str">
        <f>VLOOKUP(Table1[[#This Row],[average score]],$AE$9:$AG$13,3,TRUE)</f>
        <v>Poor</v>
      </c>
    </row>
    <row r="116" spans="1:15" x14ac:dyDescent="0.2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t="s">
        <v>150</v>
      </c>
      <c r="J116">
        <f>SUM(Table1[[#This Row],[math score]:[writing score]])</f>
        <v>299</v>
      </c>
      <c r="K116" s="1">
        <f>Table1[[#This Row],[total score]]/3</f>
        <v>99.666666666666671</v>
      </c>
      <c r="L116" s="6" t="str">
        <f>VLOOKUP(Table1[[#This Row],[average score]],$AE$9:$AF$13,2,TRUE)</f>
        <v>A</v>
      </c>
      <c r="M1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16" s="2" t="str">
        <f>IF(OR(Table1[[#This Row],[math score]]&lt;$AC$5,Table1[[#This Row],[reading score]]&lt;$AC$5,Table1[[#This Row],[writing score]]&lt;$AC$5), "Failed atleast one", "Passed all")</f>
        <v>Passed all</v>
      </c>
      <c r="O116" t="str">
        <f>VLOOKUP(Table1[[#This Row],[average score]],$AE$9:$AG$13,3,TRUE)</f>
        <v>Outstanding</v>
      </c>
    </row>
    <row r="117" spans="1:15" x14ac:dyDescent="0.2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t="s">
        <v>151</v>
      </c>
      <c r="J117">
        <f>SUM(Table1[[#This Row],[math score]:[writing score]])</f>
        <v>235</v>
      </c>
      <c r="K117" s="1">
        <f>Table1[[#This Row],[total score]]/3</f>
        <v>78.333333333333329</v>
      </c>
      <c r="L117" s="6" t="str">
        <f>VLOOKUP(Table1[[#This Row],[average score]],$AE$9:$AF$13,2,TRUE)</f>
        <v>C</v>
      </c>
      <c r="M1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17" s="2" t="str">
        <f>IF(OR(Table1[[#This Row],[math score]]&lt;$AC$5,Table1[[#This Row],[reading score]]&lt;$AC$5,Table1[[#This Row],[writing score]]&lt;$AC$5), "Failed atleast one", "Passed all")</f>
        <v>Passed all</v>
      </c>
      <c r="O117" t="str">
        <f>VLOOKUP(Table1[[#This Row],[average score]],$AE$9:$AG$13,3,TRUE)</f>
        <v>Satisfactory</v>
      </c>
    </row>
    <row r="118" spans="1:15" x14ac:dyDescent="0.2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t="s">
        <v>152</v>
      </c>
      <c r="J118">
        <f>SUM(Table1[[#This Row],[math score]:[writing score]])</f>
        <v>242</v>
      </c>
      <c r="K118" s="1">
        <f>Table1[[#This Row],[total score]]/3</f>
        <v>80.666666666666671</v>
      </c>
      <c r="L118" s="6" t="str">
        <f>VLOOKUP(Table1[[#This Row],[average score]],$AE$9:$AF$13,2,TRUE)</f>
        <v>B</v>
      </c>
      <c r="M1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18" s="2" t="str">
        <f>IF(OR(Table1[[#This Row],[math score]]&lt;$AC$5,Table1[[#This Row],[reading score]]&lt;$AC$5,Table1[[#This Row],[writing score]]&lt;$AC$5), "Failed atleast one", "Passed all")</f>
        <v>Passed all</v>
      </c>
      <c r="O118" t="str">
        <f>VLOOKUP(Table1[[#This Row],[average score]],$AE$9:$AG$13,3,TRUE)</f>
        <v xml:space="preserve">Good </v>
      </c>
    </row>
    <row r="119" spans="1:15" x14ac:dyDescent="0.2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t="s">
        <v>153</v>
      </c>
      <c r="J119">
        <f>SUM(Table1[[#This Row],[math score]:[writing score]])</f>
        <v>239</v>
      </c>
      <c r="K119" s="1">
        <f>Table1[[#This Row],[total score]]/3</f>
        <v>79.666666666666671</v>
      </c>
      <c r="L119" s="6" t="str">
        <f>VLOOKUP(Table1[[#This Row],[average score]],$AE$9:$AF$13,2,TRUE)</f>
        <v>C</v>
      </c>
      <c r="M1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19" s="2" t="str">
        <f>IF(OR(Table1[[#This Row],[math score]]&lt;$AC$5,Table1[[#This Row],[reading score]]&lt;$AC$5,Table1[[#This Row],[writing score]]&lt;$AC$5), "Failed atleast one", "Passed all")</f>
        <v>Passed all</v>
      </c>
      <c r="O119" t="str">
        <f>VLOOKUP(Table1[[#This Row],[average score]],$AE$9:$AG$13,3,TRUE)</f>
        <v>Satisfactory</v>
      </c>
    </row>
    <row r="120" spans="1:15" x14ac:dyDescent="0.2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t="s">
        <v>154</v>
      </c>
      <c r="J120">
        <f>SUM(Table1[[#This Row],[math score]:[writing score]])</f>
        <v>175</v>
      </c>
      <c r="K120" s="1">
        <f>Table1[[#This Row],[total score]]/3</f>
        <v>58.333333333333336</v>
      </c>
      <c r="L120" s="6" t="str">
        <f>VLOOKUP(Table1[[#This Row],[average score]],$AE$9:$AF$13,2,TRUE)</f>
        <v>F</v>
      </c>
      <c r="M1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20" s="2" t="str">
        <f>IF(OR(Table1[[#This Row],[math score]]&lt;$AC$5,Table1[[#This Row],[reading score]]&lt;$AC$5,Table1[[#This Row],[writing score]]&lt;$AC$5), "Failed atleast one", "Passed all")</f>
        <v>Failed atleast one</v>
      </c>
      <c r="O120" t="str">
        <f>VLOOKUP(Table1[[#This Row],[average score]],$AE$9:$AG$13,3,TRUE)</f>
        <v>Poor</v>
      </c>
    </row>
    <row r="121" spans="1:15" x14ac:dyDescent="0.2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t="s">
        <v>155</v>
      </c>
      <c r="J121">
        <f>SUM(Table1[[#This Row],[math score]:[writing score]])</f>
        <v>189</v>
      </c>
      <c r="K121" s="1">
        <f>Table1[[#This Row],[total score]]/3</f>
        <v>63</v>
      </c>
      <c r="L121" s="6" t="str">
        <f>VLOOKUP(Table1[[#This Row],[average score]],$AE$9:$AF$13,2,TRUE)</f>
        <v>D</v>
      </c>
      <c r="M1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21" s="2" t="str">
        <f>IF(OR(Table1[[#This Row],[math score]]&lt;$AC$5,Table1[[#This Row],[reading score]]&lt;$AC$5,Table1[[#This Row],[writing score]]&lt;$AC$5), "Failed atleast one", "Passed all")</f>
        <v>Failed atleast one</v>
      </c>
      <c r="O121" t="str">
        <f>VLOOKUP(Table1[[#This Row],[average score]],$AE$9:$AG$13,3,TRUE)</f>
        <v>Needs improvements</v>
      </c>
    </row>
    <row r="122" spans="1:15" x14ac:dyDescent="0.2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t="s">
        <v>156</v>
      </c>
      <c r="J122">
        <f>SUM(Table1[[#This Row],[math score]:[writing score]])</f>
        <v>260</v>
      </c>
      <c r="K122" s="1">
        <f>Table1[[#This Row],[total score]]/3</f>
        <v>86.666666666666671</v>
      </c>
      <c r="L122" s="6" t="str">
        <f>VLOOKUP(Table1[[#This Row],[average score]],$AE$9:$AF$13,2,TRUE)</f>
        <v>B</v>
      </c>
      <c r="M1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22" s="2" t="str">
        <f>IF(OR(Table1[[#This Row],[math score]]&lt;$AC$5,Table1[[#This Row],[reading score]]&lt;$AC$5,Table1[[#This Row],[writing score]]&lt;$AC$5), "Failed atleast one", "Passed all")</f>
        <v>Passed all</v>
      </c>
      <c r="O122" t="str">
        <f>VLOOKUP(Table1[[#This Row],[average score]],$AE$9:$AG$13,3,TRUE)</f>
        <v xml:space="preserve">Good </v>
      </c>
    </row>
    <row r="123" spans="1:15" x14ac:dyDescent="0.2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t="s">
        <v>157</v>
      </c>
      <c r="J123">
        <f>SUM(Table1[[#This Row],[math score]:[writing score]])</f>
        <v>272</v>
      </c>
      <c r="K123" s="1">
        <f>Table1[[#This Row],[total score]]/3</f>
        <v>90.666666666666671</v>
      </c>
      <c r="L123" s="6" t="str">
        <f>VLOOKUP(Table1[[#This Row],[average score]],$AE$9:$AF$13,2,TRUE)</f>
        <v>A</v>
      </c>
      <c r="M1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23" s="2" t="str">
        <f>IF(OR(Table1[[#This Row],[math score]]&lt;$AC$5,Table1[[#This Row],[reading score]]&lt;$AC$5,Table1[[#This Row],[writing score]]&lt;$AC$5), "Failed atleast one", "Passed all")</f>
        <v>Passed all</v>
      </c>
      <c r="O123" t="str">
        <f>VLOOKUP(Table1[[#This Row],[average score]],$AE$9:$AG$13,3,TRUE)</f>
        <v>Outstanding</v>
      </c>
    </row>
    <row r="124" spans="1:15" x14ac:dyDescent="0.2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t="s">
        <v>158</v>
      </c>
      <c r="J124">
        <f>SUM(Table1[[#This Row],[math score]:[writing score]])</f>
        <v>274</v>
      </c>
      <c r="K124" s="1">
        <f>Table1[[#This Row],[total score]]/3</f>
        <v>91.333333333333329</v>
      </c>
      <c r="L124" s="6" t="str">
        <f>VLOOKUP(Table1[[#This Row],[average score]],$AE$9:$AF$13,2,TRUE)</f>
        <v>A</v>
      </c>
      <c r="M1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24" s="2" t="str">
        <f>IF(OR(Table1[[#This Row],[math score]]&lt;$AC$5,Table1[[#This Row],[reading score]]&lt;$AC$5,Table1[[#This Row],[writing score]]&lt;$AC$5), "Failed atleast one", "Passed all")</f>
        <v>Passed all</v>
      </c>
      <c r="O124" t="str">
        <f>VLOOKUP(Table1[[#This Row],[average score]],$AE$9:$AG$13,3,TRUE)</f>
        <v>Outstanding</v>
      </c>
    </row>
    <row r="125" spans="1:15" x14ac:dyDescent="0.2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t="s">
        <v>159</v>
      </c>
      <c r="J125">
        <f>SUM(Table1[[#This Row],[math score]:[writing score]])</f>
        <v>176</v>
      </c>
      <c r="K125" s="1">
        <f>Table1[[#This Row],[total score]]/3</f>
        <v>58.666666666666664</v>
      </c>
      <c r="L125" s="6" t="str">
        <f>VLOOKUP(Table1[[#This Row],[average score]],$AE$9:$AF$13,2,TRUE)</f>
        <v>F</v>
      </c>
      <c r="M1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25" s="2" t="str">
        <f>IF(OR(Table1[[#This Row],[math score]]&lt;$AC$5,Table1[[#This Row],[reading score]]&lt;$AC$5,Table1[[#This Row],[writing score]]&lt;$AC$5), "Failed atleast one", "Passed all")</f>
        <v>Failed atleast one</v>
      </c>
      <c r="O125" t="str">
        <f>VLOOKUP(Table1[[#This Row],[average score]],$AE$9:$AG$13,3,TRUE)</f>
        <v>Poor</v>
      </c>
    </row>
    <row r="126" spans="1:15" x14ac:dyDescent="0.2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t="s">
        <v>160</v>
      </c>
      <c r="J126">
        <f>SUM(Table1[[#This Row],[math score]:[writing score]])</f>
        <v>236</v>
      </c>
      <c r="K126" s="1">
        <f>Table1[[#This Row],[total score]]/3</f>
        <v>78.666666666666671</v>
      </c>
      <c r="L126" s="6" t="str">
        <f>VLOOKUP(Table1[[#This Row],[average score]],$AE$9:$AF$13,2,TRUE)</f>
        <v>C</v>
      </c>
      <c r="M1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26" s="2" t="str">
        <f>IF(OR(Table1[[#This Row],[math score]]&lt;$AC$5,Table1[[#This Row],[reading score]]&lt;$AC$5,Table1[[#This Row],[writing score]]&lt;$AC$5), "Failed atleast one", "Passed all")</f>
        <v>Passed all</v>
      </c>
      <c r="O126" t="str">
        <f>VLOOKUP(Table1[[#This Row],[average score]],$AE$9:$AG$13,3,TRUE)</f>
        <v>Satisfactory</v>
      </c>
    </row>
    <row r="127" spans="1:15" x14ac:dyDescent="0.2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t="s">
        <v>161</v>
      </c>
      <c r="J127">
        <f>SUM(Table1[[#This Row],[math score]:[writing score]])</f>
        <v>268</v>
      </c>
      <c r="K127" s="1">
        <f>Table1[[#This Row],[total score]]/3</f>
        <v>89.333333333333329</v>
      </c>
      <c r="L127" s="6" t="str">
        <f>VLOOKUP(Table1[[#This Row],[average score]],$AE$9:$AF$13,2,TRUE)</f>
        <v>B</v>
      </c>
      <c r="M1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27" s="2" t="str">
        <f>IF(OR(Table1[[#This Row],[math score]]&lt;$AC$5,Table1[[#This Row],[reading score]]&lt;$AC$5,Table1[[#This Row],[writing score]]&lt;$AC$5), "Failed atleast one", "Passed all")</f>
        <v>Passed all</v>
      </c>
      <c r="O127" t="str">
        <f>VLOOKUP(Table1[[#This Row],[average score]],$AE$9:$AG$13,3,TRUE)</f>
        <v xml:space="preserve">Good </v>
      </c>
    </row>
    <row r="128" spans="1:15" x14ac:dyDescent="0.2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t="s">
        <v>162</v>
      </c>
      <c r="J128">
        <f>SUM(Table1[[#This Row],[math score]:[writing score]])</f>
        <v>207</v>
      </c>
      <c r="K128" s="1">
        <f>Table1[[#This Row],[total score]]/3</f>
        <v>69</v>
      </c>
      <c r="L128" s="6" t="str">
        <f>VLOOKUP(Table1[[#This Row],[average score]],$AE$9:$AF$13,2,TRUE)</f>
        <v>D</v>
      </c>
      <c r="M1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28" s="2" t="str">
        <f>IF(OR(Table1[[#This Row],[math score]]&lt;$AC$5,Table1[[#This Row],[reading score]]&lt;$AC$5,Table1[[#This Row],[writing score]]&lt;$AC$5), "Failed atleast one", "Passed all")</f>
        <v>Passed all</v>
      </c>
      <c r="O128" t="str">
        <f>VLOOKUP(Table1[[#This Row],[average score]],$AE$9:$AG$13,3,TRUE)</f>
        <v>Needs improvements</v>
      </c>
    </row>
    <row r="129" spans="1:15" x14ac:dyDescent="0.2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t="s">
        <v>163</v>
      </c>
      <c r="J129">
        <f>SUM(Table1[[#This Row],[math score]:[writing score]])</f>
        <v>216</v>
      </c>
      <c r="K129" s="1">
        <f>Table1[[#This Row],[total score]]/3</f>
        <v>72</v>
      </c>
      <c r="L129" s="6" t="str">
        <f>VLOOKUP(Table1[[#This Row],[average score]],$AE$9:$AF$13,2,TRUE)</f>
        <v>C</v>
      </c>
      <c r="M1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29" s="2" t="str">
        <f>IF(OR(Table1[[#This Row],[math score]]&lt;$AC$5,Table1[[#This Row],[reading score]]&lt;$AC$5,Table1[[#This Row],[writing score]]&lt;$AC$5), "Failed atleast one", "Passed all")</f>
        <v>Passed all</v>
      </c>
      <c r="O129" t="str">
        <f>VLOOKUP(Table1[[#This Row],[average score]],$AE$9:$AG$13,3,TRUE)</f>
        <v>Satisfactory</v>
      </c>
    </row>
    <row r="130" spans="1:15" x14ac:dyDescent="0.2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t="s">
        <v>164</v>
      </c>
      <c r="J130">
        <f>SUM(Table1[[#This Row],[math score]:[writing score]])</f>
        <v>238</v>
      </c>
      <c r="K130" s="1">
        <f>Table1[[#This Row],[total score]]/3</f>
        <v>79.333333333333329</v>
      </c>
      <c r="L130" s="6" t="str">
        <f>VLOOKUP(Table1[[#This Row],[average score]],$AE$9:$AF$13,2,TRUE)</f>
        <v>C</v>
      </c>
      <c r="M1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30" s="2" t="str">
        <f>IF(OR(Table1[[#This Row],[math score]]&lt;$AC$5,Table1[[#This Row],[reading score]]&lt;$AC$5,Table1[[#This Row],[writing score]]&lt;$AC$5), "Failed atleast one", "Passed all")</f>
        <v>Passed all</v>
      </c>
      <c r="O130" t="str">
        <f>VLOOKUP(Table1[[#This Row],[average score]],$AE$9:$AG$13,3,TRUE)</f>
        <v>Satisfactory</v>
      </c>
    </row>
    <row r="131" spans="1:15" x14ac:dyDescent="0.2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t="s">
        <v>165</v>
      </c>
      <c r="J131">
        <f>SUM(Table1[[#This Row],[math score]:[writing score]])</f>
        <v>151</v>
      </c>
      <c r="K131" s="1">
        <f>Table1[[#This Row],[total score]]/3</f>
        <v>50.333333333333336</v>
      </c>
      <c r="L131" s="6" t="str">
        <f>VLOOKUP(Table1[[#This Row],[average score]],$AE$9:$AF$13,2,TRUE)</f>
        <v>F</v>
      </c>
      <c r="M1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31" s="2" t="str">
        <f>IF(OR(Table1[[#This Row],[math score]]&lt;$AC$5,Table1[[#This Row],[reading score]]&lt;$AC$5,Table1[[#This Row],[writing score]]&lt;$AC$5), "Failed atleast one", "Passed all")</f>
        <v>Failed atleast one</v>
      </c>
      <c r="O131" t="str">
        <f>VLOOKUP(Table1[[#This Row],[average score]],$AE$9:$AG$13,3,TRUE)</f>
        <v>Poor</v>
      </c>
    </row>
    <row r="132" spans="1:15" x14ac:dyDescent="0.2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t="s">
        <v>166</v>
      </c>
      <c r="J132">
        <f>SUM(Table1[[#This Row],[math score]:[writing score]])</f>
        <v>255</v>
      </c>
      <c r="K132" s="1">
        <f>Table1[[#This Row],[total score]]/3</f>
        <v>85</v>
      </c>
      <c r="L132" s="6" t="str">
        <f>VLOOKUP(Table1[[#This Row],[average score]],$AE$9:$AF$13,2,TRUE)</f>
        <v>B</v>
      </c>
      <c r="M1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32" s="2" t="str">
        <f>IF(OR(Table1[[#This Row],[math score]]&lt;$AC$5,Table1[[#This Row],[reading score]]&lt;$AC$5,Table1[[#This Row],[writing score]]&lt;$AC$5), "Failed atleast one", "Passed all")</f>
        <v>Passed all</v>
      </c>
      <c r="O132" t="str">
        <f>VLOOKUP(Table1[[#This Row],[average score]],$AE$9:$AG$13,3,TRUE)</f>
        <v xml:space="preserve">Good </v>
      </c>
    </row>
    <row r="133" spans="1:15" x14ac:dyDescent="0.2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t="s">
        <v>167</v>
      </c>
      <c r="J133">
        <f>SUM(Table1[[#This Row],[math score]:[writing score]])</f>
        <v>130</v>
      </c>
      <c r="K133" s="1">
        <f>Table1[[#This Row],[total score]]/3</f>
        <v>43.333333333333336</v>
      </c>
      <c r="L133" s="6" t="str">
        <f>VLOOKUP(Table1[[#This Row],[average score]],$AE$9:$AF$13,2,TRUE)</f>
        <v>F</v>
      </c>
      <c r="M1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33" s="2" t="str">
        <f>IF(OR(Table1[[#This Row],[math score]]&lt;$AC$5,Table1[[#This Row],[reading score]]&lt;$AC$5,Table1[[#This Row],[writing score]]&lt;$AC$5), "Failed atleast one", "Passed all")</f>
        <v>Failed atleast one</v>
      </c>
      <c r="O133" t="str">
        <f>VLOOKUP(Table1[[#This Row],[average score]],$AE$9:$AG$13,3,TRUE)</f>
        <v>Poor</v>
      </c>
    </row>
    <row r="134" spans="1:15" x14ac:dyDescent="0.2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t="s">
        <v>168</v>
      </c>
      <c r="J134">
        <f>SUM(Table1[[#This Row],[math score]:[writing score]])</f>
        <v>231</v>
      </c>
      <c r="K134" s="1">
        <f>Table1[[#This Row],[total score]]/3</f>
        <v>77</v>
      </c>
      <c r="L134" s="6" t="str">
        <f>VLOOKUP(Table1[[#This Row],[average score]],$AE$9:$AF$13,2,TRUE)</f>
        <v>C</v>
      </c>
      <c r="M1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34" s="2" t="str">
        <f>IF(OR(Table1[[#This Row],[math score]]&lt;$AC$5,Table1[[#This Row],[reading score]]&lt;$AC$5,Table1[[#This Row],[writing score]]&lt;$AC$5), "Failed atleast one", "Passed all")</f>
        <v>Passed all</v>
      </c>
      <c r="O134" t="str">
        <f>VLOOKUP(Table1[[#This Row],[average score]],$AE$9:$AG$13,3,TRUE)</f>
        <v>Satisfactory</v>
      </c>
    </row>
    <row r="135" spans="1:15" x14ac:dyDescent="0.2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t="s">
        <v>169</v>
      </c>
      <c r="J135">
        <f>SUM(Table1[[#This Row],[math score]:[writing score]])</f>
        <v>240</v>
      </c>
      <c r="K135" s="1">
        <f>Table1[[#This Row],[total score]]/3</f>
        <v>80</v>
      </c>
      <c r="L135" s="6" t="str">
        <f>VLOOKUP(Table1[[#This Row],[average score]],$AE$9:$AF$13,2,TRUE)</f>
        <v>B</v>
      </c>
      <c r="M1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35" s="2" t="str">
        <f>IF(OR(Table1[[#This Row],[math score]]&lt;$AC$5,Table1[[#This Row],[reading score]]&lt;$AC$5,Table1[[#This Row],[writing score]]&lt;$AC$5), "Failed atleast one", "Passed all")</f>
        <v>Passed all</v>
      </c>
      <c r="O135" t="str">
        <f>VLOOKUP(Table1[[#This Row],[average score]],$AE$9:$AG$13,3,TRUE)</f>
        <v xml:space="preserve">Good </v>
      </c>
    </row>
    <row r="136" spans="1:15" x14ac:dyDescent="0.2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t="s">
        <v>170</v>
      </c>
      <c r="J136">
        <f>SUM(Table1[[#This Row],[math score]:[writing score]])</f>
        <v>228</v>
      </c>
      <c r="K136" s="1">
        <f>Table1[[#This Row],[total score]]/3</f>
        <v>76</v>
      </c>
      <c r="L136" s="6" t="str">
        <f>VLOOKUP(Table1[[#This Row],[average score]],$AE$9:$AF$13,2,TRUE)</f>
        <v>C</v>
      </c>
      <c r="M1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36" s="2" t="str">
        <f>IF(OR(Table1[[#This Row],[math score]]&lt;$AC$5,Table1[[#This Row],[reading score]]&lt;$AC$5,Table1[[#This Row],[writing score]]&lt;$AC$5), "Failed atleast one", "Passed all")</f>
        <v>Passed all</v>
      </c>
      <c r="O136" t="str">
        <f>VLOOKUP(Table1[[#This Row],[average score]],$AE$9:$AG$13,3,TRUE)</f>
        <v>Satisfactory</v>
      </c>
    </row>
    <row r="137" spans="1:15" x14ac:dyDescent="0.2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t="s">
        <v>171</v>
      </c>
      <c r="J137">
        <f>SUM(Table1[[#This Row],[math score]:[writing score]])</f>
        <v>161</v>
      </c>
      <c r="K137" s="1">
        <f>Table1[[#This Row],[total score]]/3</f>
        <v>53.666666666666664</v>
      </c>
      <c r="L137" s="6" t="str">
        <f>VLOOKUP(Table1[[#This Row],[average score]],$AE$9:$AF$13,2,TRUE)</f>
        <v>F</v>
      </c>
      <c r="M1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37" s="2" t="str">
        <f>IF(OR(Table1[[#This Row],[math score]]&lt;$AC$5,Table1[[#This Row],[reading score]]&lt;$AC$5,Table1[[#This Row],[writing score]]&lt;$AC$5), "Failed atleast one", "Passed all")</f>
        <v>Failed atleast one</v>
      </c>
      <c r="O137" t="str">
        <f>VLOOKUP(Table1[[#This Row],[average score]],$AE$9:$AG$13,3,TRUE)</f>
        <v>Poor</v>
      </c>
    </row>
    <row r="138" spans="1:15" x14ac:dyDescent="0.2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t="s">
        <v>172</v>
      </c>
      <c r="J138">
        <f>SUM(Table1[[#This Row],[math score]:[writing score]])</f>
        <v>146</v>
      </c>
      <c r="K138" s="1">
        <f>Table1[[#This Row],[total score]]/3</f>
        <v>48.666666666666664</v>
      </c>
      <c r="L138" s="6" t="str">
        <f>VLOOKUP(Table1[[#This Row],[average score]],$AE$9:$AF$13,2,TRUE)</f>
        <v>F</v>
      </c>
      <c r="M1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38" s="2" t="str">
        <f>IF(OR(Table1[[#This Row],[math score]]&lt;$AC$5,Table1[[#This Row],[reading score]]&lt;$AC$5,Table1[[#This Row],[writing score]]&lt;$AC$5), "Failed atleast one", "Passed all")</f>
        <v>Failed atleast one</v>
      </c>
      <c r="O138" t="str">
        <f>VLOOKUP(Table1[[#This Row],[average score]],$AE$9:$AG$13,3,TRUE)</f>
        <v>Poor</v>
      </c>
    </row>
    <row r="139" spans="1:15" x14ac:dyDescent="0.2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t="s">
        <v>173</v>
      </c>
      <c r="J139">
        <f>SUM(Table1[[#This Row],[math score]:[writing score]])</f>
        <v>181</v>
      </c>
      <c r="K139" s="1">
        <f>Table1[[#This Row],[total score]]/3</f>
        <v>60.333333333333336</v>
      </c>
      <c r="L139" s="6" t="str">
        <f>VLOOKUP(Table1[[#This Row],[average score]],$AE$9:$AF$13,2,TRUE)</f>
        <v>D</v>
      </c>
      <c r="M1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39" s="2" t="str">
        <f>IF(OR(Table1[[#This Row],[math score]]&lt;$AC$5,Table1[[#This Row],[reading score]]&lt;$AC$5,Table1[[#This Row],[writing score]]&lt;$AC$5), "Failed atleast one", "Passed all")</f>
        <v>Failed atleast one</v>
      </c>
      <c r="O139" t="str">
        <f>VLOOKUP(Table1[[#This Row],[average score]],$AE$9:$AG$13,3,TRUE)</f>
        <v>Needs improvements</v>
      </c>
    </row>
    <row r="140" spans="1:15" x14ac:dyDescent="0.2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t="s">
        <v>174</v>
      </c>
      <c r="J140">
        <f>SUM(Table1[[#This Row],[math score]:[writing score]])</f>
        <v>192</v>
      </c>
      <c r="K140" s="1">
        <f>Table1[[#This Row],[total score]]/3</f>
        <v>64</v>
      </c>
      <c r="L140" s="6" t="str">
        <f>VLOOKUP(Table1[[#This Row],[average score]],$AE$9:$AF$13,2,TRUE)</f>
        <v>D</v>
      </c>
      <c r="M1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40" s="2" t="str">
        <f>IF(OR(Table1[[#This Row],[math score]]&lt;$AC$5,Table1[[#This Row],[reading score]]&lt;$AC$5,Table1[[#This Row],[writing score]]&lt;$AC$5), "Failed atleast one", "Passed all")</f>
        <v>Failed atleast one</v>
      </c>
      <c r="O140" t="str">
        <f>VLOOKUP(Table1[[#This Row],[average score]],$AE$9:$AG$13,3,TRUE)</f>
        <v>Needs improvements</v>
      </c>
    </row>
    <row r="141" spans="1:15" x14ac:dyDescent="0.2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t="s">
        <v>175</v>
      </c>
      <c r="J141">
        <f>SUM(Table1[[#This Row],[math score]:[writing score]])</f>
        <v>201</v>
      </c>
      <c r="K141" s="1">
        <f>Table1[[#This Row],[total score]]/3</f>
        <v>67</v>
      </c>
      <c r="L141" s="6" t="str">
        <f>VLOOKUP(Table1[[#This Row],[average score]],$AE$9:$AF$13,2,TRUE)</f>
        <v>D</v>
      </c>
      <c r="M1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41" s="2" t="str">
        <f>IF(OR(Table1[[#This Row],[math score]]&lt;$AC$5,Table1[[#This Row],[reading score]]&lt;$AC$5,Table1[[#This Row],[writing score]]&lt;$AC$5), "Failed atleast one", "Passed all")</f>
        <v>Passed all</v>
      </c>
      <c r="O141" t="str">
        <f>VLOOKUP(Table1[[#This Row],[average score]],$AE$9:$AG$13,3,TRUE)</f>
        <v>Needs improvements</v>
      </c>
    </row>
    <row r="142" spans="1:15" x14ac:dyDescent="0.2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t="s">
        <v>176</v>
      </c>
      <c r="J142">
        <f>SUM(Table1[[#This Row],[math score]:[writing score]])</f>
        <v>219</v>
      </c>
      <c r="K142" s="1">
        <f>Table1[[#This Row],[total score]]/3</f>
        <v>73</v>
      </c>
      <c r="L142" s="6" t="str">
        <f>VLOOKUP(Table1[[#This Row],[average score]],$AE$9:$AF$13,2,TRUE)</f>
        <v>C</v>
      </c>
      <c r="M1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42" s="2" t="str">
        <f>IF(OR(Table1[[#This Row],[math score]]&lt;$AC$5,Table1[[#This Row],[reading score]]&lt;$AC$5,Table1[[#This Row],[writing score]]&lt;$AC$5), "Failed atleast one", "Passed all")</f>
        <v>Passed all</v>
      </c>
      <c r="O142" t="str">
        <f>VLOOKUP(Table1[[#This Row],[average score]],$AE$9:$AG$13,3,TRUE)</f>
        <v>Satisfactory</v>
      </c>
    </row>
    <row r="143" spans="1:15" x14ac:dyDescent="0.2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t="s">
        <v>177</v>
      </c>
      <c r="J143">
        <f>SUM(Table1[[#This Row],[math score]:[writing score]])</f>
        <v>185</v>
      </c>
      <c r="K143" s="1">
        <f>Table1[[#This Row],[total score]]/3</f>
        <v>61.666666666666664</v>
      </c>
      <c r="L143" s="6" t="str">
        <f>VLOOKUP(Table1[[#This Row],[average score]],$AE$9:$AF$13,2,TRUE)</f>
        <v>D</v>
      </c>
      <c r="M1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43" s="2" t="str">
        <f>IF(OR(Table1[[#This Row],[math score]]&lt;$AC$5,Table1[[#This Row],[reading score]]&lt;$AC$5,Table1[[#This Row],[writing score]]&lt;$AC$5), "Failed atleast one", "Passed all")</f>
        <v>Failed atleast one</v>
      </c>
      <c r="O143" t="str">
        <f>VLOOKUP(Table1[[#This Row],[average score]],$AE$9:$AG$13,3,TRUE)</f>
        <v>Needs improvements</v>
      </c>
    </row>
    <row r="144" spans="1:15" x14ac:dyDescent="0.2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t="s">
        <v>178</v>
      </c>
      <c r="J144">
        <f>SUM(Table1[[#This Row],[math score]:[writing score]])</f>
        <v>151</v>
      </c>
      <c r="K144" s="1">
        <f>Table1[[#This Row],[total score]]/3</f>
        <v>50.333333333333336</v>
      </c>
      <c r="L144" s="6" t="str">
        <f>VLOOKUP(Table1[[#This Row],[average score]],$AE$9:$AF$13,2,TRUE)</f>
        <v>F</v>
      </c>
      <c r="M1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44" s="2" t="str">
        <f>IF(OR(Table1[[#This Row],[math score]]&lt;$AC$5,Table1[[#This Row],[reading score]]&lt;$AC$5,Table1[[#This Row],[writing score]]&lt;$AC$5), "Failed atleast one", "Passed all")</f>
        <v>Failed atleast one</v>
      </c>
      <c r="O144" t="str">
        <f>VLOOKUP(Table1[[#This Row],[average score]],$AE$9:$AG$13,3,TRUE)</f>
        <v>Poor</v>
      </c>
    </row>
    <row r="145" spans="1:15" x14ac:dyDescent="0.2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t="s">
        <v>179</v>
      </c>
      <c r="J145">
        <f>SUM(Table1[[#This Row],[math score]:[writing score]])</f>
        <v>147</v>
      </c>
      <c r="K145" s="1">
        <f>Table1[[#This Row],[total score]]/3</f>
        <v>49</v>
      </c>
      <c r="L145" s="6" t="str">
        <f>VLOOKUP(Table1[[#This Row],[average score]],$AE$9:$AF$13,2,TRUE)</f>
        <v>F</v>
      </c>
      <c r="M1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45" s="2" t="str">
        <f>IF(OR(Table1[[#This Row],[math score]]&lt;$AC$5,Table1[[#This Row],[reading score]]&lt;$AC$5,Table1[[#This Row],[writing score]]&lt;$AC$5), "Failed atleast one", "Passed all")</f>
        <v>Failed atleast one</v>
      </c>
      <c r="O145" t="str">
        <f>VLOOKUP(Table1[[#This Row],[average score]],$AE$9:$AG$13,3,TRUE)</f>
        <v>Poor</v>
      </c>
    </row>
    <row r="146" spans="1:15" x14ac:dyDescent="0.2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t="s">
        <v>180</v>
      </c>
      <c r="J146">
        <f>SUM(Table1[[#This Row],[math score]:[writing score]])</f>
        <v>239</v>
      </c>
      <c r="K146" s="1">
        <f>Table1[[#This Row],[total score]]/3</f>
        <v>79.666666666666671</v>
      </c>
      <c r="L146" s="6" t="str">
        <f>VLOOKUP(Table1[[#This Row],[average score]],$AE$9:$AF$13,2,TRUE)</f>
        <v>C</v>
      </c>
      <c r="M1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46" s="2" t="str">
        <f>IF(OR(Table1[[#This Row],[math score]]&lt;$AC$5,Table1[[#This Row],[reading score]]&lt;$AC$5,Table1[[#This Row],[writing score]]&lt;$AC$5), "Failed atleast one", "Passed all")</f>
        <v>Passed all</v>
      </c>
      <c r="O146" t="str">
        <f>VLOOKUP(Table1[[#This Row],[average score]],$AE$9:$AG$13,3,TRUE)</f>
        <v>Satisfactory</v>
      </c>
    </row>
    <row r="147" spans="1:15" x14ac:dyDescent="0.2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t="s">
        <v>181</v>
      </c>
      <c r="J147">
        <f>SUM(Table1[[#This Row],[math score]:[writing score]])</f>
        <v>94</v>
      </c>
      <c r="K147" s="1">
        <f>Table1[[#This Row],[total score]]/3</f>
        <v>31.333333333333332</v>
      </c>
      <c r="L147" s="6" t="str">
        <f>VLOOKUP(Table1[[#This Row],[average score]],$AE$9:$AF$13,2,TRUE)</f>
        <v>F</v>
      </c>
      <c r="M1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47" s="2" t="str">
        <f>IF(OR(Table1[[#This Row],[math score]]&lt;$AC$5,Table1[[#This Row],[reading score]]&lt;$AC$5,Table1[[#This Row],[writing score]]&lt;$AC$5), "Failed atleast one", "Passed all")</f>
        <v>Failed atleast one</v>
      </c>
      <c r="O147" t="str">
        <f>VLOOKUP(Table1[[#This Row],[average score]],$AE$9:$AG$13,3,TRUE)</f>
        <v>Poor</v>
      </c>
    </row>
    <row r="148" spans="1:15" x14ac:dyDescent="0.2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t="s">
        <v>182</v>
      </c>
      <c r="J148">
        <f>SUM(Table1[[#This Row],[math score]:[writing score]])</f>
        <v>247</v>
      </c>
      <c r="K148" s="1">
        <f>Table1[[#This Row],[total score]]/3</f>
        <v>82.333333333333329</v>
      </c>
      <c r="L148" s="6" t="str">
        <f>VLOOKUP(Table1[[#This Row],[average score]],$AE$9:$AF$13,2,TRUE)</f>
        <v>B</v>
      </c>
      <c r="M1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48" s="2" t="str">
        <f>IF(OR(Table1[[#This Row],[math score]]&lt;$AC$5,Table1[[#This Row],[reading score]]&lt;$AC$5,Table1[[#This Row],[writing score]]&lt;$AC$5), "Failed atleast one", "Passed all")</f>
        <v>Passed all</v>
      </c>
      <c r="O148" t="str">
        <f>VLOOKUP(Table1[[#This Row],[average score]],$AE$9:$AG$13,3,TRUE)</f>
        <v xml:space="preserve">Good </v>
      </c>
    </row>
    <row r="149" spans="1:15" x14ac:dyDescent="0.2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t="s">
        <v>183</v>
      </c>
      <c r="J149">
        <f>SUM(Table1[[#This Row],[math score]:[writing score]])</f>
        <v>207</v>
      </c>
      <c r="K149" s="1">
        <f>Table1[[#This Row],[total score]]/3</f>
        <v>69</v>
      </c>
      <c r="L149" s="6" t="str">
        <f>VLOOKUP(Table1[[#This Row],[average score]],$AE$9:$AF$13,2,TRUE)</f>
        <v>D</v>
      </c>
      <c r="M1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49" s="2" t="str">
        <f>IF(OR(Table1[[#This Row],[math score]]&lt;$AC$5,Table1[[#This Row],[reading score]]&lt;$AC$5,Table1[[#This Row],[writing score]]&lt;$AC$5), "Failed atleast one", "Passed all")</f>
        <v>Passed all</v>
      </c>
      <c r="O149" t="str">
        <f>VLOOKUP(Table1[[#This Row],[average score]],$AE$9:$AG$13,3,TRUE)</f>
        <v>Needs improvements</v>
      </c>
    </row>
    <row r="150" spans="1:15" x14ac:dyDescent="0.2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t="s">
        <v>184</v>
      </c>
      <c r="J150">
        <f>SUM(Table1[[#This Row],[math score]:[writing score]])</f>
        <v>224</v>
      </c>
      <c r="K150" s="1">
        <f>Table1[[#This Row],[total score]]/3</f>
        <v>74.666666666666671</v>
      </c>
      <c r="L150" s="6" t="str">
        <f>VLOOKUP(Table1[[#This Row],[average score]],$AE$9:$AF$13,2,TRUE)</f>
        <v>C</v>
      </c>
      <c r="M1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50" s="2" t="str">
        <f>IF(OR(Table1[[#This Row],[math score]]&lt;$AC$5,Table1[[#This Row],[reading score]]&lt;$AC$5,Table1[[#This Row],[writing score]]&lt;$AC$5), "Failed atleast one", "Passed all")</f>
        <v>Passed all</v>
      </c>
      <c r="O150" t="str">
        <f>VLOOKUP(Table1[[#This Row],[average score]],$AE$9:$AG$13,3,TRUE)</f>
        <v>Satisfactory</v>
      </c>
    </row>
    <row r="151" spans="1:15" x14ac:dyDescent="0.2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t="s">
        <v>185</v>
      </c>
      <c r="J151">
        <f>SUM(Table1[[#This Row],[math score]:[writing score]])</f>
        <v>293</v>
      </c>
      <c r="K151" s="1">
        <f>Table1[[#This Row],[total score]]/3</f>
        <v>97.666666666666671</v>
      </c>
      <c r="L151" s="6" t="str">
        <f>VLOOKUP(Table1[[#This Row],[average score]],$AE$9:$AF$13,2,TRUE)</f>
        <v>A</v>
      </c>
      <c r="M1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51" s="2" t="str">
        <f>IF(OR(Table1[[#This Row],[math score]]&lt;$AC$5,Table1[[#This Row],[reading score]]&lt;$AC$5,Table1[[#This Row],[writing score]]&lt;$AC$5), "Failed atleast one", "Passed all")</f>
        <v>Passed all</v>
      </c>
      <c r="O151" t="str">
        <f>VLOOKUP(Table1[[#This Row],[average score]],$AE$9:$AG$13,3,TRUE)</f>
        <v>Outstanding</v>
      </c>
    </row>
    <row r="152" spans="1:15" x14ac:dyDescent="0.2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t="s">
        <v>186</v>
      </c>
      <c r="J152">
        <f>SUM(Table1[[#This Row],[math score]:[writing score]])</f>
        <v>198</v>
      </c>
      <c r="K152" s="1">
        <f>Table1[[#This Row],[total score]]/3</f>
        <v>66</v>
      </c>
      <c r="L152" s="6" t="str">
        <f>VLOOKUP(Table1[[#This Row],[average score]],$AE$9:$AF$13,2,TRUE)</f>
        <v>D</v>
      </c>
      <c r="M1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52" s="2" t="str">
        <f>IF(OR(Table1[[#This Row],[math score]]&lt;$AC$5,Table1[[#This Row],[reading score]]&lt;$AC$5,Table1[[#This Row],[writing score]]&lt;$AC$5), "Failed atleast one", "Passed all")</f>
        <v>Passed all</v>
      </c>
      <c r="O152" t="str">
        <f>VLOOKUP(Table1[[#This Row],[average score]],$AE$9:$AG$13,3,TRUE)</f>
        <v>Needs improvements</v>
      </c>
    </row>
    <row r="153" spans="1:15" x14ac:dyDescent="0.2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t="s">
        <v>187</v>
      </c>
      <c r="J153">
        <f>SUM(Table1[[#This Row],[math score]:[writing score]])</f>
        <v>212</v>
      </c>
      <c r="K153" s="1">
        <f>Table1[[#This Row],[total score]]/3</f>
        <v>70.666666666666671</v>
      </c>
      <c r="L153" s="6" t="str">
        <f>VLOOKUP(Table1[[#This Row],[average score]],$AE$9:$AF$13,2,TRUE)</f>
        <v>C</v>
      </c>
      <c r="M1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53" s="2" t="str">
        <f>IF(OR(Table1[[#This Row],[math score]]&lt;$AC$5,Table1[[#This Row],[reading score]]&lt;$AC$5,Table1[[#This Row],[writing score]]&lt;$AC$5), "Failed atleast one", "Passed all")</f>
        <v>Passed all</v>
      </c>
      <c r="O153" t="str">
        <f>VLOOKUP(Table1[[#This Row],[average score]],$AE$9:$AG$13,3,TRUE)</f>
        <v>Satisfactory</v>
      </c>
    </row>
    <row r="154" spans="1:15" x14ac:dyDescent="0.2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t="s">
        <v>188</v>
      </c>
      <c r="J154">
        <f>SUM(Table1[[#This Row],[math score]:[writing score]])</f>
        <v>195</v>
      </c>
      <c r="K154" s="1">
        <f>Table1[[#This Row],[total score]]/3</f>
        <v>65</v>
      </c>
      <c r="L154" s="6" t="str">
        <f>VLOOKUP(Table1[[#This Row],[average score]],$AE$9:$AF$13,2,TRUE)</f>
        <v>D</v>
      </c>
      <c r="M1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54" s="2" t="str">
        <f>IF(OR(Table1[[#This Row],[math score]]&lt;$AC$5,Table1[[#This Row],[reading score]]&lt;$AC$5,Table1[[#This Row],[writing score]]&lt;$AC$5), "Failed atleast one", "Passed all")</f>
        <v>Failed atleast one</v>
      </c>
      <c r="O154" t="str">
        <f>VLOOKUP(Table1[[#This Row],[average score]],$AE$9:$AG$13,3,TRUE)</f>
        <v>Needs improvements</v>
      </c>
    </row>
    <row r="155" spans="1:15" x14ac:dyDescent="0.2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t="s">
        <v>189</v>
      </c>
      <c r="J155">
        <f>SUM(Table1[[#This Row],[math score]:[writing score]])</f>
        <v>150</v>
      </c>
      <c r="K155" s="1">
        <f>Table1[[#This Row],[total score]]/3</f>
        <v>50</v>
      </c>
      <c r="L155" s="6" t="str">
        <f>VLOOKUP(Table1[[#This Row],[average score]],$AE$9:$AF$13,2,TRUE)</f>
        <v>F</v>
      </c>
      <c r="M1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55" s="2" t="str">
        <f>IF(OR(Table1[[#This Row],[math score]]&lt;$AC$5,Table1[[#This Row],[reading score]]&lt;$AC$5,Table1[[#This Row],[writing score]]&lt;$AC$5), "Failed atleast one", "Passed all")</f>
        <v>Failed atleast one</v>
      </c>
      <c r="O155" t="str">
        <f>VLOOKUP(Table1[[#This Row],[average score]],$AE$9:$AG$13,3,TRUE)</f>
        <v>Poor</v>
      </c>
    </row>
    <row r="156" spans="1:15" x14ac:dyDescent="0.2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t="s">
        <v>190</v>
      </c>
      <c r="J156">
        <f>SUM(Table1[[#This Row],[math score]:[writing score]])</f>
        <v>190</v>
      </c>
      <c r="K156" s="1">
        <f>Table1[[#This Row],[total score]]/3</f>
        <v>63.333333333333336</v>
      </c>
      <c r="L156" s="6" t="str">
        <f>VLOOKUP(Table1[[#This Row],[average score]],$AE$9:$AF$13,2,TRUE)</f>
        <v>D</v>
      </c>
      <c r="M1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56" s="2" t="str">
        <f>IF(OR(Table1[[#This Row],[math score]]&lt;$AC$5,Table1[[#This Row],[reading score]]&lt;$AC$5,Table1[[#This Row],[writing score]]&lt;$AC$5), "Failed atleast one", "Passed all")</f>
        <v>Passed all</v>
      </c>
      <c r="O156" t="str">
        <f>VLOOKUP(Table1[[#This Row],[average score]],$AE$9:$AG$13,3,TRUE)</f>
        <v>Needs improvements</v>
      </c>
    </row>
    <row r="157" spans="1:15" x14ac:dyDescent="0.2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t="s">
        <v>191</v>
      </c>
      <c r="J157">
        <f>SUM(Table1[[#This Row],[math score]:[writing score]])</f>
        <v>247</v>
      </c>
      <c r="K157" s="1">
        <f>Table1[[#This Row],[total score]]/3</f>
        <v>82.333333333333329</v>
      </c>
      <c r="L157" s="6" t="str">
        <f>VLOOKUP(Table1[[#This Row],[average score]],$AE$9:$AF$13,2,TRUE)</f>
        <v>B</v>
      </c>
      <c r="M1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57" s="2" t="str">
        <f>IF(OR(Table1[[#This Row],[math score]]&lt;$AC$5,Table1[[#This Row],[reading score]]&lt;$AC$5,Table1[[#This Row],[writing score]]&lt;$AC$5), "Failed atleast one", "Passed all")</f>
        <v>Passed all</v>
      </c>
      <c r="O157" t="str">
        <f>VLOOKUP(Table1[[#This Row],[average score]],$AE$9:$AG$13,3,TRUE)</f>
        <v xml:space="preserve">Good </v>
      </c>
    </row>
    <row r="158" spans="1:15" x14ac:dyDescent="0.2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t="s">
        <v>192</v>
      </c>
      <c r="J158">
        <f>SUM(Table1[[#This Row],[math score]:[writing score]])</f>
        <v>218</v>
      </c>
      <c r="K158" s="1">
        <f>Table1[[#This Row],[total score]]/3</f>
        <v>72.666666666666671</v>
      </c>
      <c r="L158" s="6" t="str">
        <f>VLOOKUP(Table1[[#This Row],[average score]],$AE$9:$AF$13,2,TRUE)</f>
        <v>C</v>
      </c>
      <c r="M1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58" s="2" t="str">
        <f>IF(OR(Table1[[#This Row],[math score]]&lt;$AC$5,Table1[[#This Row],[reading score]]&lt;$AC$5,Table1[[#This Row],[writing score]]&lt;$AC$5), "Failed atleast one", "Passed all")</f>
        <v>Passed all</v>
      </c>
      <c r="O158" t="str">
        <f>VLOOKUP(Table1[[#This Row],[average score]],$AE$9:$AG$13,3,TRUE)</f>
        <v>Satisfactory</v>
      </c>
    </row>
    <row r="159" spans="1:15" x14ac:dyDescent="0.2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t="s">
        <v>193</v>
      </c>
      <c r="J159">
        <f>SUM(Table1[[#This Row],[math score]:[writing score]])</f>
        <v>180</v>
      </c>
      <c r="K159" s="1">
        <f>Table1[[#This Row],[total score]]/3</f>
        <v>60</v>
      </c>
      <c r="L159" s="6" t="str">
        <f>VLOOKUP(Table1[[#This Row],[average score]],$AE$9:$AF$13,2,TRUE)</f>
        <v>D</v>
      </c>
      <c r="M1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59" s="2" t="str">
        <f>IF(OR(Table1[[#This Row],[math score]]&lt;$AC$5,Table1[[#This Row],[reading score]]&lt;$AC$5,Table1[[#This Row],[writing score]]&lt;$AC$5), "Failed atleast one", "Passed all")</f>
        <v>Passed all</v>
      </c>
      <c r="O159" t="str">
        <f>VLOOKUP(Table1[[#This Row],[average score]],$AE$9:$AG$13,3,TRUE)</f>
        <v>Needs improvements</v>
      </c>
    </row>
    <row r="160" spans="1:15" x14ac:dyDescent="0.2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t="s">
        <v>194</v>
      </c>
      <c r="J160">
        <f>SUM(Table1[[#This Row],[math score]:[writing score]])</f>
        <v>234</v>
      </c>
      <c r="K160" s="1">
        <f>Table1[[#This Row],[total score]]/3</f>
        <v>78</v>
      </c>
      <c r="L160" s="6" t="str">
        <f>VLOOKUP(Table1[[#This Row],[average score]],$AE$9:$AF$13,2,TRUE)</f>
        <v>C</v>
      </c>
      <c r="M1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60" s="2" t="str">
        <f>IF(OR(Table1[[#This Row],[math score]]&lt;$AC$5,Table1[[#This Row],[reading score]]&lt;$AC$5,Table1[[#This Row],[writing score]]&lt;$AC$5), "Failed atleast one", "Passed all")</f>
        <v>Passed all</v>
      </c>
      <c r="O160" t="str">
        <f>VLOOKUP(Table1[[#This Row],[average score]],$AE$9:$AG$13,3,TRUE)</f>
        <v>Satisfactory</v>
      </c>
    </row>
    <row r="161" spans="1:15" x14ac:dyDescent="0.2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t="s">
        <v>195</v>
      </c>
      <c r="J161">
        <f>SUM(Table1[[#This Row],[math score]:[writing score]])</f>
        <v>192</v>
      </c>
      <c r="K161" s="1">
        <f>Table1[[#This Row],[total score]]/3</f>
        <v>64</v>
      </c>
      <c r="L161" s="6" t="str">
        <f>VLOOKUP(Table1[[#This Row],[average score]],$AE$9:$AF$13,2,TRUE)</f>
        <v>D</v>
      </c>
      <c r="M1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61" s="2" t="str">
        <f>IF(OR(Table1[[#This Row],[math score]]&lt;$AC$5,Table1[[#This Row],[reading score]]&lt;$AC$5,Table1[[#This Row],[writing score]]&lt;$AC$5), "Failed atleast one", "Passed all")</f>
        <v>Passed all</v>
      </c>
      <c r="O161" t="str">
        <f>VLOOKUP(Table1[[#This Row],[average score]],$AE$9:$AG$13,3,TRUE)</f>
        <v>Needs improvements</v>
      </c>
    </row>
    <row r="162" spans="1:15" x14ac:dyDescent="0.2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t="s">
        <v>196</v>
      </c>
      <c r="J162">
        <f>SUM(Table1[[#This Row],[math score]:[writing score]])</f>
        <v>234</v>
      </c>
      <c r="K162" s="1">
        <f>Table1[[#This Row],[total score]]/3</f>
        <v>78</v>
      </c>
      <c r="L162" s="6" t="str">
        <f>VLOOKUP(Table1[[#This Row],[average score]],$AE$9:$AF$13,2,TRUE)</f>
        <v>C</v>
      </c>
      <c r="M1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62" s="2" t="str">
        <f>IF(OR(Table1[[#This Row],[math score]]&lt;$AC$5,Table1[[#This Row],[reading score]]&lt;$AC$5,Table1[[#This Row],[writing score]]&lt;$AC$5), "Failed atleast one", "Passed all")</f>
        <v>Passed all</v>
      </c>
      <c r="O162" t="str">
        <f>VLOOKUP(Table1[[#This Row],[average score]],$AE$9:$AG$13,3,TRUE)</f>
        <v>Satisfactory</v>
      </c>
    </row>
    <row r="163" spans="1:15" x14ac:dyDescent="0.2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t="s">
        <v>197</v>
      </c>
      <c r="J163">
        <f>SUM(Table1[[#This Row],[math score]:[writing score]])</f>
        <v>248</v>
      </c>
      <c r="K163" s="1">
        <f>Table1[[#This Row],[total score]]/3</f>
        <v>82.666666666666671</v>
      </c>
      <c r="L163" s="6" t="str">
        <f>VLOOKUP(Table1[[#This Row],[average score]],$AE$9:$AF$13,2,TRUE)</f>
        <v>B</v>
      </c>
      <c r="M1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63" s="2" t="str">
        <f>IF(OR(Table1[[#This Row],[math score]]&lt;$AC$5,Table1[[#This Row],[reading score]]&lt;$AC$5,Table1[[#This Row],[writing score]]&lt;$AC$5), "Failed atleast one", "Passed all")</f>
        <v>Passed all</v>
      </c>
      <c r="O163" t="str">
        <f>VLOOKUP(Table1[[#This Row],[average score]],$AE$9:$AG$13,3,TRUE)</f>
        <v xml:space="preserve">Good </v>
      </c>
    </row>
    <row r="164" spans="1:15" x14ac:dyDescent="0.2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t="s">
        <v>198</v>
      </c>
      <c r="J164">
        <f>SUM(Table1[[#This Row],[math score]:[writing score]])</f>
        <v>154</v>
      </c>
      <c r="K164" s="1">
        <f>Table1[[#This Row],[total score]]/3</f>
        <v>51.333333333333336</v>
      </c>
      <c r="L164" s="6" t="str">
        <f>VLOOKUP(Table1[[#This Row],[average score]],$AE$9:$AF$13,2,TRUE)</f>
        <v>F</v>
      </c>
      <c r="M1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64" s="2" t="str">
        <f>IF(OR(Table1[[#This Row],[math score]]&lt;$AC$5,Table1[[#This Row],[reading score]]&lt;$AC$5,Table1[[#This Row],[writing score]]&lt;$AC$5), "Failed atleast one", "Passed all")</f>
        <v>Failed atleast one</v>
      </c>
      <c r="O164" t="str">
        <f>VLOOKUP(Table1[[#This Row],[average score]],$AE$9:$AG$13,3,TRUE)</f>
        <v>Poor</v>
      </c>
    </row>
    <row r="165" spans="1:15" x14ac:dyDescent="0.2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t="s">
        <v>199</v>
      </c>
      <c r="J165">
        <f>SUM(Table1[[#This Row],[math score]:[writing score]])</f>
        <v>154</v>
      </c>
      <c r="K165" s="1">
        <f>Table1[[#This Row],[total score]]/3</f>
        <v>51.333333333333336</v>
      </c>
      <c r="L165" s="6" t="str">
        <f>VLOOKUP(Table1[[#This Row],[average score]],$AE$9:$AF$13,2,TRUE)</f>
        <v>F</v>
      </c>
      <c r="M1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65" s="2" t="str">
        <f>IF(OR(Table1[[#This Row],[math score]]&lt;$AC$5,Table1[[#This Row],[reading score]]&lt;$AC$5,Table1[[#This Row],[writing score]]&lt;$AC$5), "Failed atleast one", "Passed all")</f>
        <v>Failed atleast one</v>
      </c>
      <c r="O165" t="str">
        <f>VLOOKUP(Table1[[#This Row],[average score]],$AE$9:$AG$13,3,TRUE)</f>
        <v>Poor</v>
      </c>
    </row>
    <row r="166" spans="1:15" x14ac:dyDescent="0.2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t="s">
        <v>200</v>
      </c>
      <c r="J166">
        <f>SUM(Table1[[#This Row],[math score]:[writing score]])</f>
        <v>264</v>
      </c>
      <c r="K166" s="1">
        <f>Table1[[#This Row],[total score]]/3</f>
        <v>88</v>
      </c>
      <c r="L166" s="6" t="str">
        <f>VLOOKUP(Table1[[#This Row],[average score]],$AE$9:$AF$13,2,TRUE)</f>
        <v>B</v>
      </c>
      <c r="M1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66" s="2" t="str">
        <f>IF(OR(Table1[[#This Row],[math score]]&lt;$AC$5,Table1[[#This Row],[reading score]]&lt;$AC$5,Table1[[#This Row],[writing score]]&lt;$AC$5), "Failed atleast one", "Passed all")</f>
        <v>Passed all</v>
      </c>
      <c r="O166" t="str">
        <f>VLOOKUP(Table1[[#This Row],[average score]],$AE$9:$AG$13,3,TRUE)</f>
        <v xml:space="preserve">Good </v>
      </c>
    </row>
    <row r="167" spans="1:15" x14ac:dyDescent="0.2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t="s">
        <v>201</v>
      </c>
      <c r="J167">
        <f>SUM(Table1[[#This Row],[math score]:[writing score]])</f>
        <v>296</v>
      </c>
      <c r="K167" s="1">
        <f>Table1[[#This Row],[total score]]/3</f>
        <v>98.666666666666671</v>
      </c>
      <c r="L167" s="6" t="str">
        <f>VLOOKUP(Table1[[#This Row],[average score]],$AE$9:$AF$13,2,TRUE)</f>
        <v>A</v>
      </c>
      <c r="M1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67" s="2" t="str">
        <f>IF(OR(Table1[[#This Row],[math score]]&lt;$AC$5,Table1[[#This Row],[reading score]]&lt;$AC$5,Table1[[#This Row],[writing score]]&lt;$AC$5), "Failed atleast one", "Passed all")</f>
        <v>Passed all</v>
      </c>
      <c r="O167" t="str">
        <f>VLOOKUP(Table1[[#This Row],[average score]],$AE$9:$AG$13,3,TRUE)</f>
        <v>Outstanding</v>
      </c>
    </row>
    <row r="168" spans="1:15" x14ac:dyDescent="0.2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t="s">
        <v>202</v>
      </c>
      <c r="J168">
        <f>SUM(Table1[[#This Row],[math score]:[writing score]])</f>
        <v>155</v>
      </c>
      <c r="K168" s="1">
        <f>Table1[[#This Row],[total score]]/3</f>
        <v>51.666666666666664</v>
      </c>
      <c r="L168" s="6" t="str">
        <f>VLOOKUP(Table1[[#This Row],[average score]],$AE$9:$AF$13,2,TRUE)</f>
        <v>F</v>
      </c>
      <c r="M1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68" s="2" t="str">
        <f>IF(OR(Table1[[#This Row],[math score]]&lt;$AC$5,Table1[[#This Row],[reading score]]&lt;$AC$5,Table1[[#This Row],[writing score]]&lt;$AC$5), "Failed atleast one", "Passed all")</f>
        <v>Failed atleast one</v>
      </c>
      <c r="O168" t="str">
        <f>VLOOKUP(Table1[[#This Row],[average score]],$AE$9:$AG$13,3,TRUE)</f>
        <v>Poor</v>
      </c>
    </row>
    <row r="169" spans="1:15" x14ac:dyDescent="0.2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t="s">
        <v>203</v>
      </c>
      <c r="J169">
        <f>SUM(Table1[[#This Row],[math score]:[writing score]])</f>
        <v>212</v>
      </c>
      <c r="K169" s="1">
        <f>Table1[[#This Row],[total score]]/3</f>
        <v>70.666666666666671</v>
      </c>
      <c r="L169" s="6" t="str">
        <f>VLOOKUP(Table1[[#This Row],[average score]],$AE$9:$AF$13,2,TRUE)</f>
        <v>C</v>
      </c>
      <c r="M1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69" s="2" t="str">
        <f>IF(OR(Table1[[#This Row],[math score]]&lt;$AC$5,Table1[[#This Row],[reading score]]&lt;$AC$5,Table1[[#This Row],[writing score]]&lt;$AC$5), "Failed atleast one", "Passed all")</f>
        <v>Failed atleast one</v>
      </c>
      <c r="O169" t="str">
        <f>VLOOKUP(Table1[[#This Row],[average score]],$AE$9:$AG$13,3,TRUE)</f>
        <v>Satisfactory</v>
      </c>
    </row>
    <row r="170" spans="1:15" x14ac:dyDescent="0.2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t="s">
        <v>204</v>
      </c>
      <c r="J170">
        <f>SUM(Table1[[#This Row],[math score]:[writing score]])</f>
        <v>229</v>
      </c>
      <c r="K170" s="1">
        <f>Table1[[#This Row],[total score]]/3</f>
        <v>76.333333333333329</v>
      </c>
      <c r="L170" s="6" t="str">
        <f>VLOOKUP(Table1[[#This Row],[average score]],$AE$9:$AF$13,2,TRUE)</f>
        <v>C</v>
      </c>
      <c r="M1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70" s="2" t="str">
        <f>IF(OR(Table1[[#This Row],[math score]]&lt;$AC$5,Table1[[#This Row],[reading score]]&lt;$AC$5,Table1[[#This Row],[writing score]]&lt;$AC$5), "Failed atleast one", "Passed all")</f>
        <v>Passed all</v>
      </c>
      <c r="O170" t="str">
        <f>VLOOKUP(Table1[[#This Row],[average score]],$AE$9:$AG$13,3,TRUE)</f>
        <v>Satisfactory</v>
      </c>
    </row>
    <row r="171" spans="1:15" x14ac:dyDescent="0.2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t="s">
        <v>205</v>
      </c>
      <c r="J171">
        <f>SUM(Table1[[#This Row],[math score]:[writing score]])</f>
        <v>212</v>
      </c>
      <c r="K171" s="1">
        <f>Table1[[#This Row],[total score]]/3</f>
        <v>70.666666666666671</v>
      </c>
      <c r="L171" s="6" t="str">
        <f>VLOOKUP(Table1[[#This Row],[average score]],$AE$9:$AF$13,2,TRUE)</f>
        <v>C</v>
      </c>
      <c r="M1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71" s="2" t="str">
        <f>IF(OR(Table1[[#This Row],[math score]]&lt;$AC$5,Table1[[#This Row],[reading score]]&lt;$AC$5,Table1[[#This Row],[writing score]]&lt;$AC$5), "Failed atleast one", "Passed all")</f>
        <v>Passed all</v>
      </c>
      <c r="O171" t="str">
        <f>VLOOKUP(Table1[[#This Row],[average score]],$AE$9:$AG$13,3,TRUE)</f>
        <v>Satisfactory</v>
      </c>
    </row>
    <row r="172" spans="1:15" x14ac:dyDescent="0.2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t="s">
        <v>206</v>
      </c>
      <c r="J172">
        <f>SUM(Table1[[#This Row],[math score]:[writing score]])</f>
        <v>219</v>
      </c>
      <c r="K172" s="1">
        <f>Table1[[#This Row],[total score]]/3</f>
        <v>73</v>
      </c>
      <c r="L172" s="6" t="str">
        <f>VLOOKUP(Table1[[#This Row],[average score]],$AE$9:$AF$13,2,TRUE)</f>
        <v>C</v>
      </c>
      <c r="M1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72" s="2" t="str">
        <f>IF(OR(Table1[[#This Row],[math score]]&lt;$AC$5,Table1[[#This Row],[reading score]]&lt;$AC$5,Table1[[#This Row],[writing score]]&lt;$AC$5), "Failed atleast one", "Passed all")</f>
        <v>Passed all</v>
      </c>
      <c r="O172" t="str">
        <f>VLOOKUP(Table1[[#This Row],[average score]],$AE$9:$AG$13,3,TRUE)</f>
        <v>Satisfactory</v>
      </c>
    </row>
    <row r="173" spans="1:15" x14ac:dyDescent="0.2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t="s">
        <v>207</v>
      </c>
      <c r="J173">
        <f>SUM(Table1[[#This Row],[math score]:[writing score]])</f>
        <v>260</v>
      </c>
      <c r="K173" s="1">
        <f>Table1[[#This Row],[total score]]/3</f>
        <v>86.666666666666671</v>
      </c>
      <c r="L173" s="6" t="str">
        <f>VLOOKUP(Table1[[#This Row],[average score]],$AE$9:$AF$13,2,TRUE)</f>
        <v>B</v>
      </c>
      <c r="M1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73" s="2" t="str">
        <f>IF(OR(Table1[[#This Row],[math score]]&lt;$AC$5,Table1[[#This Row],[reading score]]&lt;$AC$5,Table1[[#This Row],[writing score]]&lt;$AC$5), "Failed atleast one", "Passed all")</f>
        <v>Passed all</v>
      </c>
      <c r="O173" t="str">
        <f>VLOOKUP(Table1[[#This Row],[average score]],$AE$9:$AG$13,3,TRUE)</f>
        <v xml:space="preserve">Good </v>
      </c>
    </row>
    <row r="174" spans="1:15" x14ac:dyDescent="0.2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t="s">
        <v>208</v>
      </c>
      <c r="J174">
        <f>SUM(Table1[[#This Row],[math score]:[writing score]])</f>
        <v>246</v>
      </c>
      <c r="K174" s="1">
        <f>Table1[[#This Row],[total score]]/3</f>
        <v>82</v>
      </c>
      <c r="L174" s="6" t="str">
        <f>VLOOKUP(Table1[[#This Row],[average score]],$AE$9:$AF$13,2,TRUE)</f>
        <v>B</v>
      </c>
      <c r="M1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74" s="2" t="str">
        <f>IF(OR(Table1[[#This Row],[math score]]&lt;$AC$5,Table1[[#This Row],[reading score]]&lt;$AC$5,Table1[[#This Row],[writing score]]&lt;$AC$5), "Failed atleast one", "Passed all")</f>
        <v>Passed all</v>
      </c>
      <c r="O174" t="str">
        <f>VLOOKUP(Table1[[#This Row],[average score]],$AE$9:$AG$13,3,TRUE)</f>
        <v xml:space="preserve">Good </v>
      </c>
    </row>
    <row r="175" spans="1:15" x14ac:dyDescent="0.2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t="s">
        <v>209</v>
      </c>
      <c r="J175">
        <f>SUM(Table1[[#This Row],[math score]:[writing score]])</f>
        <v>200</v>
      </c>
      <c r="K175" s="1">
        <f>Table1[[#This Row],[total score]]/3</f>
        <v>66.666666666666671</v>
      </c>
      <c r="L175" s="6" t="str">
        <f>VLOOKUP(Table1[[#This Row],[average score]],$AE$9:$AF$13,2,TRUE)</f>
        <v>D</v>
      </c>
      <c r="M1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75" s="2" t="str">
        <f>IF(OR(Table1[[#This Row],[math score]]&lt;$AC$5,Table1[[#This Row],[reading score]]&lt;$AC$5,Table1[[#This Row],[writing score]]&lt;$AC$5), "Failed atleast one", "Passed all")</f>
        <v>Passed all</v>
      </c>
      <c r="O175" t="str">
        <f>VLOOKUP(Table1[[#This Row],[average score]],$AE$9:$AG$13,3,TRUE)</f>
        <v>Needs improvements</v>
      </c>
    </row>
    <row r="176" spans="1:15" x14ac:dyDescent="0.2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t="s">
        <v>210</v>
      </c>
      <c r="J176">
        <f>SUM(Table1[[#This Row],[math score]:[writing score]])</f>
        <v>148</v>
      </c>
      <c r="K176" s="1">
        <f>Table1[[#This Row],[total score]]/3</f>
        <v>49.333333333333336</v>
      </c>
      <c r="L176" s="6" t="str">
        <f>VLOOKUP(Table1[[#This Row],[average score]],$AE$9:$AF$13,2,TRUE)</f>
        <v>F</v>
      </c>
      <c r="M1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76" s="2" t="str">
        <f>IF(OR(Table1[[#This Row],[math score]]&lt;$AC$5,Table1[[#This Row],[reading score]]&lt;$AC$5,Table1[[#This Row],[writing score]]&lt;$AC$5), "Failed atleast one", "Passed all")</f>
        <v>Failed atleast one</v>
      </c>
      <c r="O176" t="str">
        <f>VLOOKUP(Table1[[#This Row],[average score]],$AE$9:$AG$13,3,TRUE)</f>
        <v>Poor</v>
      </c>
    </row>
    <row r="177" spans="1:15" x14ac:dyDescent="0.2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t="s">
        <v>211</v>
      </c>
      <c r="J177">
        <f>SUM(Table1[[#This Row],[math score]:[writing score]])</f>
        <v>259</v>
      </c>
      <c r="K177" s="1">
        <f>Table1[[#This Row],[total score]]/3</f>
        <v>86.333333333333329</v>
      </c>
      <c r="L177" s="6" t="str">
        <f>VLOOKUP(Table1[[#This Row],[average score]],$AE$9:$AF$13,2,TRUE)</f>
        <v>B</v>
      </c>
      <c r="M1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77" s="2" t="str">
        <f>IF(OR(Table1[[#This Row],[math score]]&lt;$AC$5,Table1[[#This Row],[reading score]]&lt;$AC$5,Table1[[#This Row],[writing score]]&lt;$AC$5), "Failed atleast one", "Passed all")</f>
        <v>Passed all</v>
      </c>
      <c r="O177" t="str">
        <f>VLOOKUP(Table1[[#This Row],[average score]],$AE$9:$AG$13,3,TRUE)</f>
        <v xml:space="preserve">Good </v>
      </c>
    </row>
    <row r="178" spans="1:15" x14ac:dyDescent="0.2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t="s">
        <v>212</v>
      </c>
      <c r="J178">
        <f>SUM(Table1[[#This Row],[math score]:[writing score]])</f>
        <v>158</v>
      </c>
      <c r="K178" s="1">
        <f>Table1[[#This Row],[total score]]/3</f>
        <v>52.666666666666664</v>
      </c>
      <c r="L178" s="6" t="str">
        <f>VLOOKUP(Table1[[#This Row],[average score]],$AE$9:$AF$13,2,TRUE)</f>
        <v>F</v>
      </c>
      <c r="M1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78" s="2" t="str">
        <f>IF(OR(Table1[[#This Row],[math score]]&lt;$AC$5,Table1[[#This Row],[reading score]]&lt;$AC$5,Table1[[#This Row],[writing score]]&lt;$AC$5), "Failed atleast one", "Passed all")</f>
        <v>Failed atleast one</v>
      </c>
      <c r="O178" t="str">
        <f>VLOOKUP(Table1[[#This Row],[average score]],$AE$9:$AG$13,3,TRUE)</f>
        <v>Poor</v>
      </c>
    </row>
    <row r="179" spans="1:15" x14ac:dyDescent="0.2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t="s">
        <v>213</v>
      </c>
      <c r="J179">
        <f>SUM(Table1[[#This Row],[math score]:[writing score]])</f>
        <v>225</v>
      </c>
      <c r="K179" s="1">
        <f>Table1[[#This Row],[total score]]/3</f>
        <v>75</v>
      </c>
      <c r="L179" s="6" t="str">
        <f>VLOOKUP(Table1[[#This Row],[average score]],$AE$9:$AF$13,2,TRUE)</f>
        <v>C</v>
      </c>
      <c r="M1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79" s="2" t="str">
        <f>IF(OR(Table1[[#This Row],[math score]]&lt;$AC$5,Table1[[#This Row],[reading score]]&lt;$AC$5,Table1[[#This Row],[writing score]]&lt;$AC$5), "Failed atleast one", "Passed all")</f>
        <v>Passed all</v>
      </c>
      <c r="O179" t="str">
        <f>VLOOKUP(Table1[[#This Row],[average score]],$AE$9:$AG$13,3,TRUE)</f>
        <v>Satisfactory</v>
      </c>
    </row>
    <row r="180" spans="1:15" x14ac:dyDescent="0.2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t="s">
        <v>214</v>
      </c>
      <c r="J180">
        <f>SUM(Table1[[#This Row],[math score]:[writing score]])</f>
        <v>184</v>
      </c>
      <c r="K180" s="1">
        <f>Table1[[#This Row],[total score]]/3</f>
        <v>61.333333333333336</v>
      </c>
      <c r="L180" s="6" t="str">
        <f>VLOOKUP(Table1[[#This Row],[average score]],$AE$9:$AF$13,2,TRUE)</f>
        <v>D</v>
      </c>
      <c r="M1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80" s="2" t="str">
        <f>IF(OR(Table1[[#This Row],[math score]]&lt;$AC$5,Table1[[#This Row],[reading score]]&lt;$AC$5,Table1[[#This Row],[writing score]]&lt;$AC$5), "Failed atleast one", "Passed all")</f>
        <v>Failed atleast one</v>
      </c>
      <c r="O180" t="str">
        <f>VLOOKUP(Table1[[#This Row],[average score]],$AE$9:$AG$13,3,TRUE)</f>
        <v>Needs improvements</v>
      </c>
    </row>
    <row r="181" spans="1:15" x14ac:dyDescent="0.2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t="s">
        <v>215</v>
      </c>
      <c r="J181">
        <f>SUM(Table1[[#This Row],[math score]:[writing score]])</f>
        <v>297</v>
      </c>
      <c r="K181" s="1">
        <f>Table1[[#This Row],[total score]]/3</f>
        <v>99</v>
      </c>
      <c r="L181" s="6" t="str">
        <f>VLOOKUP(Table1[[#This Row],[average score]],$AE$9:$AF$13,2,TRUE)</f>
        <v>A</v>
      </c>
      <c r="M1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181" s="2" t="str">
        <f>IF(OR(Table1[[#This Row],[math score]]&lt;$AC$5,Table1[[#This Row],[reading score]]&lt;$AC$5,Table1[[#This Row],[writing score]]&lt;$AC$5), "Failed atleast one", "Passed all")</f>
        <v>Passed all</v>
      </c>
      <c r="O181" t="str">
        <f>VLOOKUP(Table1[[#This Row],[average score]],$AE$9:$AG$13,3,TRUE)</f>
        <v>Outstanding</v>
      </c>
    </row>
    <row r="182" spans="1:15" x14ac:dyDescent="0.2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t="s">
        <v>216</v>
      </c>
      <c r="J182">
        <f>SUM(Table1[[#This Row],[math score]:[writing score]])</f>
        <v>205</v>
      </c>
      <c r="K182" s="1">
        <f>Table1[[#This Row],[total score]]/3</f>
        <v>68.333333333333329</v>
      </c>
      <c r="L182" s="6" t="str">
        <f>VLOOKUP(Table1[[#This Row],[average score]],$AE$9:$AF$13,2,TRUE)</f>
        <v>D</v>
      </c>
      <c r="M1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82" s="2" t="str">
        <f>IF(OR(Table1[[#This Row],[math score]]&lt;$AC$5,Table1[[#This Row],[reading score]]&lt;$AC$5,Table1[[#This Row],[writing score]]&lt;$AC$5), "Failed atleast one", "Passed all")</f>
        <v>Passed all</v>
      </c>
      <c r="O182" t="str">
        <f>VLOOKUP(Table1[[#This Row],[average score]],$AE$9:$AG$13,3,TRUE)</f>
        <v>Needs improvements</v>
      </c>
    </row>
    <row r="183" spans="1:15" x14ac:dyDescent="0.2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t="s">
        <v>217</v>
      </c>
      <c r="J183">
        <f>SUM(Table1[[#This Row],[math score]:[writing score]])</f>
        <v>176</v>
      </c>
      <c r="K183" s="1">
        <f>Table1[[#This Row],[total score]]/3</f>
        <v>58.666666666666664</v>
      </c>
      <c r="L183" s="6" t="str">
        <f>VLOOKUP(Table1[[#This Row],[average score]],$AE$9:$AF$13,2,TRUE)</f>
        <v>F</v>
      </c>
      <c r="M1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83" s="2" t="str">
        <f>IF(OR(Table1[[#This Row],[math score]]&lt;$AC$5,Table1[[#This Row],[reading score]]&lt;$AC$5,Table1[[#This Row],[writing score]]&lt;$AC$5), "Failed atleast one", "Passed all")</f>
        <v>Failed atleast one</v>
      </c>
      <c r="O183" t="str">
        <f>VLOOKUP(Table1[[#This Row],[average score]],$AE$9:$AG$13,3,TRUE)</f>
        <v>Poor</v>
      </c>
    </row>
    <row r="184" spans="1:15" x14ac:dyDescent="0.2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t="s">
        <v>218</v>
      </c>
      <c r="J184">
        <f>SUM(Table1[[#This Row],[math score]:[writing score]])</f>
        <v>147</v>
      </c>
      <c r="K184" s="1">
        <f>Table1[[#This Row],[total score]]/3</f>
        <v>49</v>
      </c>
      <c r="L184" s="6" t="str">
        <f>VLOOKUP(Table1[[#This Row],[average score]],$AE$9:$AF$13,2,TRUE)</f>
        <v>F</v>
      </c>
      <c r="M1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84" s="2" t="str">
        <f>IF(OR(Table1[[#This Row],[math score]]&lt;$AC$5,Table1[[#This Row],[reading score]]&lt;$AC$5,Table1[[#This Row],[writing score]]&lt;$AC$5), "Failed atleast one", "Passed all")</f>
        <v>Failed atleast one</v>
      </c>
      <c r="O184" t="str">
        <f>VLOOKUP(Table1[[#This Row],[average score]],$AE$9:$AG$13,3,TRUE)</f>
        <v>Poor</v>
      </c>
    </row>
    <row r="185" spans="1:15" x14ac:dyDescent="0.2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t="s">
        <v>219</v>
      </c>
      <c r="J185">
        <f>SUM(Table1[[#This Row],[math score]:[writing score]])</f>
        <v>204</v>
      </c>
      <c r="K185" s="1">
        <f>Table1[[#This Row],[total score]]/3</f>
        <v>68</v>
      </c>
      <c r="L185" s="6" t="str">
        <f>VLOOKUP(Table1[[#This Row],[average score]],$AE$9:$AF$13,2,TRUE)</f>
        <v>D</v>
      </c>
      <c r="M1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85" s="2" t="str">
        <f>IF(OR(Table1[[#This Row],[math score]]&lt;$AC$5,Table1[[#This Row],[reading score]]&lt;$AC$5,Table1[[#This Row],[writing score]]&lt;$AC$5), "Failed atleast one", "Passed all")</f>
        <v>Passed all</v>
      </c>
      <c r="O185" t="str">
        <f>VLOOKUP(Table1[[#This Row],[average score]],$AE$9:$AG$13,3,TRUE)</f>
        <v>Needs improvements</v>
      </c>
    </row>
    <row r="186" spans="1:15" x14ac:dyDescent="0.2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t="s">
        <v>220</v>
      </c>
      <c r="J186">
        <f>SUM(Table1[[#This Row],[math score]:[writing score]])</f>
        <v>146</v>
      </c>
      <c r="K186" s="1">
        <f>Table1[[#This Row],[total score]]/3</f>
        <v>48.666666666666664</v>
      </c>
      <c r="L186" s="6" t="str">
        <f>VLOOKUP(Table1[[#This Row],[average score]],$AE$9:$AF$13,2,TRUE)</f>
        <v>F</v>
      </c>
      <c r="M1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86" s="2" t="str">
        <f>IF(OR(Table1[[#This Row],[math score]]&lt;$AC$5,Table1[[#This Row],[reading score]]&lt;$AC$5,Table1[[#This Row],[writing score]]&lt;$AC$5), "Failed atleast one", "Passed all")</f>
        <v>Failed atleast one</v>
      </c>
      <c r="O186" t="str">
        <f>VLOOKUP(Table1[[#This Row],[average score]],$AE$9:$AG$13,3,TRUE)</f>
        <v>Poor</v>
      </c>
    </row>
    <row r="187" spans="1:15" x14ac:dyDescent="0.2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t="s">
        <v>221</v>
      </c>
      <c r="J187">
        <f>SUM(Table1[[#This Row],[math score]:[writing score]])</f>
        <v>197</v>
      </c>
      <c r="K187" s="1">
        <f>Table1[[#This Row],[total score]]/3</f>
        <v>65.666666666666671</v>
      </c>
      <c r="L187" s="6" t="str">
        <f>VLOOKUP(Table1[[#This Row],[average score]],$AE$9:$AF$13,2,TRUE)</f>
        <v>D</v>
      </c>
      <c r="M1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87" s="2" t="str">
        <f>IF(OR(Table1[[#This Row],[math score]]&lt;$AC$5,Table1[[#This Row],[reading score]]&lt;$AC$5,Table1[[#This Row],[writing score]]&lt;$AC$5), "Failed atleast one", "Passed all")</f>
        <v>Passed all</v>
      </c>
      <c r="O187" t="str">
        <f>VLOOKUP(Table1[[#This Row],[average score]],$AE$9:$AG$13,3,TRUE)</f>
        <v>Needs improvements</v>
      </c>
    </row>
    <row r="188" spans="1:15" x14ac:dyDescent="0.2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t="s">
        <v>222</v>
      </c>
      <c r="J188">
        <f>SUM(Table1[[#This Row],[math score]:[writing score]])</f>
        <v>221</v>
      </c>
      <c r="K188" s="1">
        <f>Table1[[#This Row],[total score]]/3</f>
        <v>73.666666666666671</v>
      </c>
      <c r="L188" s="6" t="str">
        <f>VLOOKUP(Table1[[#This Row],[average score]],$AE$9:$AF$13,2,TRUE)</f>
        <v>C</v>
      </c>
      <c r="M1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88" s="2" t="str">
        <f>IF(OR(Table1[[#This Row],[math score]]&lt;$AC$5,Table1[[#This Row],[reading score]]&lt;$AC$5,Table1[[#This Row],[writing score]]&lt;$AC$5), "Failed atleast one", "Passed all")</f>
        <v>Passed all</v>
      </c>
      <c r="O188" t="str">
        <f>VLOOKUP(Table1[[#This Row],[average score]],$AE$9:$AG$13,3,TRUE)</f>
        <v>Satisfactory</v>
      </c>
    </row>
    <row r="189" spans="1:15" x14ac:dyDescent="0.2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t="s">
        <v>223</v>
      </c>
      <c r="J189">
        <f>SUM(Table1[[#This Row],[math score]:[writing score]])</f>
        <v>196</v>
      </c>
      <c r="K189" s="1">
        <f>Table1[[#This Row],[total score]]/3</f>
        <v>65.333333333333329</v>
      </c>
      <c r="L189" s="6" t="str">
        <f>VLOOKUP(Table1[[#This Row],[average score]],$AE$9:$AF$13,2,TRUE)</f>
        <v>D</v>
      </c>
      <c r="M1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89" s="2" t="str">
        <f>IF(OR(Table1[[#This Row],[math score]]&lt;$AC$5,Table1[[#This Row],[reading score]]&lt;$AC$5,Table1[[#This Row],[writing score]]&lt;$AC$5), "Failed atleast one", "Passed all")</f>
        <v>Passed all</v>
      </c>
      <c r="O189" t="str">
        <f>VLOOKUP(Table1[[#This Row],[average score]],$AE$9:$AG$13,3,TRUE)</f>
        <v>Needs improvements</v>
      </c>
    </row>
    <row r="190" spans="1:15" x14ac:dyDescent="0.2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t="s">
        <v>224</v>
      </c>
      <c r="J190">
        <f>SUM(Table1[[#This Row],[math score]:[writing score]])</f>
        <v>145</v>
      </c>
      <c r="K190" s="1">
        <f>Table1[[#This Row],[total score]]/3</f>
        <v>48.333333333333336</v>
      </c>
      <c r="L190" s="6" t="str">
        <f>VLOOKUP(Table1[[#This Row],[average score]],$AE$9:$AF$13,2,TRUE)</f>
        <v>F</v>
      </c>
      <c r="M1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90" s="2" t="str">
        <f>IF(OR(Table1[[#This Row],[math score]]&lt;$AC$5,Table1[[#This Row],[reading score]]&lt;$AC$5,Table1[[#This Row],[writing score]]&lt;$AC$5), "Failed atleast one", "Passed all")</f>
        <v>Failed atleast one</v>
      </c>
      <c r="O190" t="str">
        <f>VLOOKUP(Table1[[#This Row],[average score]],$AE$9:$AG$13,3,TRUE)</f>
        <v>Poor</v>
      </c>
    </row>
    <row r="191" spans="1:15" x14ac:dyDescent="0.2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t="s">
        <v>225</v>
      </c>
      <c r="J191">
        <f>SUM(Table1[[#This Row],[math score]:[writing score]])</f>
        <v>252</v>
      </c>
      <c r="K191" s="1">
        <f>Table1[[#This Row],[total score]]/3</f>
        <v>84</v>
      </c>
      <c r="L191" s="6" t="str">
        <f>VLOOKUP(Table1[[#This Row],[average score]],$AE$9:$AF$13,2,TRUE)</f>
        <v>B</v>
      </c>
      <c r="M1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91" s="2" t="str">
        <f>IF(OR(Table1[[#This Row],[math score]]&lt;$AC$5,Table1[[#This Row],[reading score]]&lt;$AC$5,Table1[[#This Row],[writing score]]&lt;$AC$5), "Failed atleast one", "Passed all")</f>
        <v>Passed all</v>
      </c>
      <c r="O191" t="str">
        <f>VLOOKUP(Table1[[#This Row],[average score]],$AE$9:$AG$13,3,TRUE)</f>
        <v xml:space="preserve">Good </v>
      </c>
    </row>
    <row r="192" spans="1:15" x14ac:dyDescent="0.2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t="s">
        <v>226</v>
      </c>
      <c r="J192">
        <f>SUM(Table1[[#This Row],[math score]:[writing score]])</f>
        <v>200</v>
      </c>
      <c r="K192" s="1">
        <f>Table1[[#This Row],[total score]]/3</f>
        <v>66.666666666666671</v>
      </c>
      <c r="L192" s="6" t="str">
        <f>VLOOKUP(Table1[[#This Row],[average score]],$AE$9:$AF$13,2,TRUE)</f>
        <v>D</v>
      </c>
      <c r="M1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92" s="2" t="str">
        <f>IF(OR(Table1[[#This Row],[math score]]&lt;$AC$5,Table1[[#This Row],[reading score]]&lt;$AC$5,Table1[[#This Row],[writing score]]&lt;$AC$5), "Failed atleast one", "Passed all")</f>
        <v>Passed all</v>
      </c>
      <c r="O192" t="str">
        <f>VLOOKUP(Table1[[#This Row],[average score]],$AE$9:$AG$13,3,TRUE)</f>
        <v>Needs improvements</v>
      </c>
    </row>
    <row r="193" spans="1:15" x14ac:dyDescent="0.2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t="s">
        <v>227</v>
      </c>
      <c r="J193">
        <f>SUM(Table1[[#This Row],[math score]:[writing score]])</f>
        <v>238</v>
      </c>
      <c r="K193" s="1">
        <f>Table1[[#This Row],[total score]]/3</f>
        <v>79.333333333333329</v>
      </c>
      <c r="L193" s="6" t="str">
        <f>VLOOKUP(Table1[[#This Row],[average score]],$AE$9:$AF$13,2,TRUE)</f>
        <v>C</v>
      </c>
      <c r="M1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93" s="2" t="str">
        <f>IF(OR(Table1[[#This Row],[math score]]&lt;$AC$5,Table1[[#This Row],[reading score]]&lt;$AC$5,Table1[[#This Row],[writing score]]&lt;$AC$5), "Failed atleast one", "Passed all")</f>
        <v>Passed all</v>
      </c>
      <c r="O193" t="str">
        <f>VLOOKUP(Table1[[#This Row],[average score]],$AE$9:$AG$13,3,TRUE)</f>
        <v>Satisfactory</v>
      </c>
    </row>
    <row r="194" spans="1:15" x14ac:dyDescent="0.2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t="s">
        <v>228</v>
      </c>
      <c r="J194">
        <f>SUM(Table1[[#This Row],[math score]:[writing score]])</f>
        <v>192</v>
      </c>
      <c r="K194" s="1">
        <f>Table1[[#This Row],[total score]]/3</f>
        <v>64</v>
      </c>
      <c r="L194" s="6" t="str">
        <f>VLOOKUP(Table1[[#This Row],[average score]],$AE$9:$AF$13,2,TRUE)</f>
        <v>D</v>
      </c>
      <c r="M1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94" s="2" t="str">
        <f>IF(OR(Table1[[#This Row],[math score]]&lt;$AC$5,Table1[[#This Row],[reading score]]&lt;$AC$5,Table1[[#This Row],[writing score]]&lt;$AC$5), "Failed atleast one", "Passed all")</f>
        <v>Passed all</v>
      </c>
      <c r="O194" t="str">
        <f>VLOOKUP(Table1[[#This Row],[average score]],$AE$9:$AG$13,3,TRUE)</f>
        <v>Needs improvements</v>
      </c>
    </row>
    <row r="195" spans="1:15" x14ac:dyDescent="0.2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t="s">
        <v>229</v>
      </c>
      <c r="J195">
        <f>SUM(Table1[[#This Row],[math score]:[writing score]])</f>
        <v>201</v>
      </c>
      <c r="K195" s="1">
        <f>Table1[[#This Row],[total score]]/3</f>
        <v>67</v>
      </c>
      <c r="L195" s="6" t="str">
        <f>VLOOKUP(Table1[[#This Row],[average score]],$AE$9:$AF$13,2,TRUE)</f>
        <v>D</v>
      </c>
      <c r="M1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95" s="2" t="str">
        <f>IF(OR(Table1[[#This Row],[math score]]&lt;$AC$5,Table1[[#This Row],[reading score]]&lt;$AC$5,Table1[[#This Row],[writing score]]&lt;$AC$5), "Failed atleast one", "Passed all")</f>
        <v>Passed all</v>
      </c>
      <c r="O195" t="str">
        <f>VLOOKUP(Table1[[#This Row],[average score]],$AE$9:$AG$13,3,TRUE)</f>
        <v>Needs improvements</v>
      </c>
    </row>
    <row r="196" spans="1:15" x14ac:dyDescent="0.2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t="s">
        <v>230</v>
      </c>
      <c r="J196">
        <f>SUM(Table1[[#This Row],[math score]:[writing score]])</f>
        <v>238</v>
      </c>
      <c r="K196" s="1">
        <f>Table1[[#This Row],[total score]]/3</f>
        <v>79.333333333333329</v>
      </c>
      <c r="L196" s="6" t="str">
        <f>VLOOKUP(Table1[[#This Row],[average score]],$AE$9:$AF$13,2,TRUE)</f>
        <v>C</v>
      </c>
      <c r="M1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96" s="2" t="str">
        <f>IF(OR(Table1[[#This Row],[math score]]&lt;$AC$5,Table1[[#This Row],[reading score]]&lt;$AC$5,Table1[[#This Row],[writing score]]&lt;$AC$5), "Failed atleast one", "Passed all")</f>
        <v>Passed all</v>
      </c>
      <c r="O196" t="str">
        <f>VLOOKUP(Table1[[#This Row],[average score]],$AE$9:$AG$13,3,TRUE)</f>
        <v>Satisfactory</v>
      </c>
    </row>
    <row r="197" spans="1:15" x14ac:dyDescent="0.2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t="s">
        <v>231</v>
      </c>
      <c r="J197">
        <f>SUM(Table1[[#This Row],[math score]:[writing score]])</f>
        <v>168</v>
      </c>
      <c r="K197" s="1">
        <f>Table1[[#This Row],[total score]]/3</f>
        <v>56</v>
      </c>
      <c r="L197" s="6" t="str">
        <f>VLOOKUP(Table1[[#This Row],[average score]],$AE$9:$AF$13,2,TRUE)</f>
        <v>F</v>
      </c>
      <c r="M1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97" s="2" t="str">
        <f>IF(OR(Table1[[#This Row],[math score]]&lt;$AC$5,Table1[[#This Row],[reading score]]&lt;$AC$5,Table1[[#This Row],[writing score]]&lt;$AC$5), "Failed atleast one", "Passed all")</f>
        <v>Failed atleast one</v>
      </c>
      <c r="O197" t="str">
        <f>VLOOKUP(Table1[[#This Row],[average score]],$AE$9:$AG$13,3,TRUE)</f>
        <v>Poor</v>
      </c>
    </row>
    <row r="198" spans="1:15" x14ac:dyDescent="0.2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t="s">
        <v>232</v>
      </c>
      <c r="J198">
        <f>SUM(Table1[[#This Row],[math score]:[writing score]])</f>
        <v>193</v>
      </c>
      <c r="K198" s="1">
        <f>Table1[[#This Row],[total score]]/3</f>
        <v>64.333333333333329</v>
      </c>
      <c r="L198" s="6" t="str">
        <f>VLOOKUP(Table1[[#This Row],[average score]],$AE$9:$AF$13,2,TRUE)</f>
        <v>D</v>
      </c>
      <c r="M1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198" s="2" t="str">
        <f>IF(OR(Table1[[#This Row],[math score]]&lt;$AC$5,Table1[[#This Row],[reading score]]&lt;$AC$5,Table1[[#This Row],[writing score]]&lt;$AC$5), "Failed atleast one", "Passed all")</f>
        <v>Failed atleast one</v>
      </c>
      <c r="O198" t="str">
        <f>VLOOKUP(Table1[[#This Row],[average score]],$AE$9:$AG$13,3,TRUE)</f>
        <v>Needs improvements</v>
      </c>
    </row>
    <row r="199" spans="1:15" x14ac:dyDescent="0.2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t="s">
        <v>233</v>
      </c>
      <c r="J199">
        <f>SUM(Table1[[#This Row],[math score]:[writing score]])</f>
        <v>162</v>
      </c>
      <c r="K199" s="1">
        <f>Table1[[#This Row],[total score]]/3</f>
        <v>54</v>
      </c>
      <c r="L199" s="6" t="str">
        <f>VLOOKUP(Table1[[#This Row],[average score]],$AE$9:$AF$13,2,TRUE)</f>
        <v>F</v>
      </c>
      <c r="M1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199" s="2" t="str">
        <f>IF(OR(Table1[[#This Row],[math score]]&lt;$AC$5,Table1[[#This Row],[reading score]]&lt;$AC$5,Table1[[#This Row],[writing score]]&lt;$AC$5), "Failed atleast one", "Passed all")</f>
        <v>Failed atleast one</v>
      </c>
      <c r="O199" t="str">
        <f>VLOOKUP(Table1[[#This Row],[average score]],$AE$9:$AG$13,3,TRUE)</f>
        <v>Poor</v>
      </c>
    </row>
    <row r="200" spans="1:15" x14ac:dyDescent="0.2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t="s">
        <v>234</v>
      </c>
      <c r="J200">
        <f>SUM(Table1[[#This Row],[math score]:[writing score]])</f>
        <v>153</v>
      </c>
      <c r="K200" s="1">
        <f>Table1[[#This Row],[total score]]/3</f>
        <v>51</v>
      </c>
      <c r="L200" s="6" t="str">
        <f>VLOOKUP(Table1[[#This Row],[average score]],$AE$9:$AF$13,2,TRUE)</f>
        <v>F</v>
      </c>
      <c r="M2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00" s="2" t="str">
        <f>IF(OR(Table1[[#This Row],[math score]]&lt;$AC$5,Table1[[#This Row],[reading score]]&lt;$AC$5,Table1[[#This Row],[writing score]]&lt;$AC$5), "Failed atleast one", "Passed all")</f>
        <v>Failed atleast one</v>
      </c>
      <c r="O200" t="str">
        <f>VLOOKUP(Table1[[#This Row],[average score]],$AE$9:$AG$13,3,TRUE)</f>
        <v>Poor</v>
      </c>
    </row>
    <row r="201" spans="1:15" x14ac:dyDescent="0.2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t="s">
        <v>235</v>
      </c>
      <c r="J201">
        <f>SUM(Table1[[#This Row],[math score]:[writing score]])</f>
        <v>233</v>
      </c>
      <c r="K201" s="1">
        <f>Table1[[#This Row],[total score]]/3</f>
        <v>77.666666666666671</v>
      </c>
      <c r="L201" s="6" t="str">
        <f>VLOOKUP(Table1[[#This Row],[average score]],$AE$9:$AF$13,2,TRUE)</f>
        <v>C</v>
      </c>
      <c r="M2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1" s="2" t="str">
        <f>IF(OR(Table1[[#This Row],[math score]]&lt;$AC$5,Table1[[#This Row],[reading score]]&lt;$AC$5,Table1[[#This Row],[writing score]]&lt;$AC$5), "Failed atleast one", "Passed all")</f>
        <v>Passed all</v>
      </c>
      <c r="O201" t="str">
        <f>VLOOKUP(Table1[[#This Row],[average score]],$AE$9:$AG$13,3,TRUE)</f>
        <v>Satisfactory</v>
      </c>
    </row>
    <row r="202" spans="1:15" x14ac:dyDescent="0.2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t="s">
        <v>236</v>
      </c>
      <c r="J202">
        <f>SUM(Table1[[#This Row],[math score]:[writing score]])</f>
        <v>237</v>
      </c>
      <c r="K202" s="1">
        <f>Table1[[#This Row],[total score]]/3</f>
        <v>79</v>
      </c>
      <c r="L202" s="6" t="str">
        <f>VLOOKUP(Table1[[#This Row],[average score]],$AE$9:$AF$13,2,TRUE)</f>
        <v>C</v>
      </c>
      <c r="M2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2" s="2" t="str">
        <f>IF(OR(Table1[[#This Row],[math score]]&lt;$AC$5,Table1[[#This Row],[reading score]]&lt;$AC$5,Table1[[#This Row],[writing score]]&lt;$AC$5), "Failed atleast one", "Passed all")</f>
        <v>Passed all</v>
      </c>
      <c r="O202" t="str">
        <f>VLOOKUP(Table1[[#This Row],[average score]],$AE$9:$AG$13,3,TRUE)</f>
        <v>Satisfactory</v>
      </c>
    </row>
    <row r="203" spans="1:15" x14ac:dyDescent="0.2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t="s">
        <v>237</v>
      </c>
      <c r="J203">
        <f>SUM(Table1[[#This Row],[math score]:[writing score]])</f>
        <v>223</v>
      </c>
      <c r="K203" s="1">
        <f>Table1[[#This Row],[total score]]/3</f>
        <v>74.333333333333329</v>
      </c>
      <c r="L203" s="6" t="str">
        <f>VLOOKUP(Table1[[#This Row],[average score]],$AE$9:$AF$13,2,TRUE)</f>
        <v>C</v>
      </c>
      <c r="M2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3" s="2" t="str">
        <f>IF(OR(Table1[[#This Row],[math score]]&lt;$AC$5,Table1[[#This Row],[reading score]]&lt;$AC$5,Table1[[#This Row],[writing score]]&lt;$AC$5), "Failed atleast one", "Passed all")</f>
        <v>Passed all</v>
      </c>
      <c r="O203" t="str">
        <f>VLOOKUP(Table1[[#This Row],[average score]],$AE$9:$AG$13,3,TRUE)</f>
        <v>Satisfactory</v>
      </c>
    </row>
    <row r="204" spans="1:15" x14ac:dyDescent="0.2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t="s">
        <v>238</v>
      </c>
      <c r="J204">
        <f>SUM(Table1[[#This Row],[math score]:[writing score]])</f>
        <v>215</v>
      </c>
      <c r="K204" s="1">
        <f>Table1[[#This Row],[total score]]/3</f>
        <v>71.666666666666671</v>
      </c>
      <c r="L204" s="6" t="str">
        <f>VLOOKUP(Table1[[#This Row],[average score]],$AE$9:$AF$13,2,TRUE)</f>
        <v>C</v>
      </c>
      <c r="M2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4" s="2" t="str">
        <f>IF(OR(Table1[[#This Row],[math score]]&lt;$AC$5,Table1[[#This Row],[reading score]]&lt;$AC$5,Table1[[#This Row],[writing score]]&lt;$AC$5), "Failed atleast one", "Passed all")</f>
        <v>Passed all</v>
      </c>
      <c r="O204" t="str">
        <f>VLOOKUP(Table1[[#This Row],[average score]],$AE$9:$AG$13,3,TRUE)</f>
        <v>Satisfactory</v>
      </c>
    </row>
    <row r="205" spans="1:15" x14ac:dyDescent="0.2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t="s">
        <v>239</v>
      </c>
      <c r="J205">
        <f>SUM(Table1[[#This Row],[math score]:[writing score]])</f>
        <v>194</v>
      </c>
      <c r="K205" s="1">
        <f>Table1[[#This Row],[total score]]/3</f>
        <v>64.666666666666671</v>
      </c>
      <c r="L205" s="6" t="str">
        <f>VLOOKUP(Table1[[#This Row],[average score]],$AE$9:$AF$13,2,TRUE)</f>
        <v>D</v>
      </c>
      <c r="M2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05" s="2" t="str">
        <f>IF(OR(Table1[[#This Row],[math score]]&lt;$AC$5,Table1[[#This Row],[reading score]]&lt;$AC$5,Table1[[#This Row],[writing score]]&lt;$AC$5), "Failed atleast one", "Passed all")</f>
        <v>Failed atleast one</v>
      </c>
      <c r="O205" t="str">
        <f>VLOOKUP(Table1[[#This Row],[average score]],$AE$9:$AG$13,3,TRUE)</f>
        <v>Needs improvements</v>
      </c>
    </row>
    <row r="206" spans="1:15" x14ac:dyDescent="0.2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t="s">
        <v>240</v>
      </c>
      <c r="J206">
        <f>SUM(Table1[[#This Row],[math score]:[writing score]])</f>
        <v>142</v>
      </c>
      <c r="K206" s="1">
        <f>Table1[[#This Row],[total score]]/3</f>
        <v>47.333333333333336</v>
      </c>
      <c r="L206" s="6" t="str">
        <f>VLOOKUP(Table1[[#This Row],[average score]],$AE$9:$AF$13,2,TRUE)</f>
        <v>F</v>
      </c>
      <c r="M2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06" s="2" t="str">
        <f>IF(OR(Table1[[#This Row],[math score]]&lt;$AC$5,Table1[[#This Row],[reading score]]&lt;$AC$5,Table1[[#This Row],[writing score]]&lt;$AC$5), "Failed atleast one", "Passed all")</f>
        <v>Failed atleast one</v>
      </c>
      <c r="O206" t="str">
        <f>VLOOKUP(Table1[[#This Row],[average score]],$AE$9:$AG$13,3,TRUE)</f>
        <v>Poor</v>
      </c>
    </row>
    <row r="207" spans="1:15" x14ac:dyDescent="0.2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t="s">
        <v>241</v>
      </c>
      <c r="J207">
        <f>SUM(Table1[[#This Row],[math score]:[writing score]])</f>
        <v>223</v>
      </c>
      <c r="K207" s="1">
        <f>Table1[[#This Row],[total score]]/3</f>
        <v>74.333333333333329</v>
      </c>
      <c r="L207" s="6" t="str">
        <f>VLOOKUP(Table1[[#This Row],[average score]],$AE$9:$AF$13,2,TRUE)</f>
        <v>C</v>
      </c>
      <c r="M2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7" s="2" t="str">
        <f>IF(OR(Table1[[#This Row],[math score]]&lt;$AC$5,Table1[[#This Row],[reading score]]&lt;$AC$5,Table1[[#This Row],[writing score]]&lt;$AC$5), "Failed atleast one", "Passed all")</f>
        <v>Passed all</v>
      </c>
      <c r="O207" t="str">
        <f>VLOOKUP(Table1[[#This Row],[average score]],$AE$9:$AG$13,3,TRUE)</f>
        <v>Satisfactory</v>
      </c>
    </row>
    <row r="208" spans="1:15" x14ac:dyDescent="0.2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t="s">
        <v>242</v>
      </c>
      <c r="J208">
        <f>SUM(Table1[[#This Row],[math score]:[writing score]])</f>
        <v>206</v>
      </c>
      <c r="K208" s="1">
        <f>Table1[[#This Row],[total score]]/3</f>
        <v>68.666666666666671</v>
      </c>
      <c r="L208" s="6" t="str">
        <f>VLOOKUP(Table1[[#This Row],[average score]],$AE$9:$AF$13,2,TRUE)</f>
        <v>D</v>
      </c>
      <c r="M2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08" s="2" t="str">
        <f>IF(OR(Table1[[#This Row],[math score]]&lt;$AC$5,Table1[[#This Row],[reading score]]&lt;$AC$5,Table1[[#This Row],[writing score]]&lt;$AC$5), "Failed atleast one", "Passed all")</f>
        <v>Passed all</v>
      </c>
      <c r="O208" t="str">
        <f>VLOOKUP(Table1[[#This Row],[average score]],$AE$9:$AG$13,3,TRUE)</f>
        <v>Needs improvements</v>
      </c>
    </row>
    <row r="209" spans="1:15" x14ac:dyDescent="0.2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t="s">
        <v>243</v>
      </c>
      <c r="J209">
        <f>SUM(Table1[[#This Row],[math score]:[writing score]])</f>
        <v>237</v>
      </c>
      <c r="K209" s="1">
        <f>Table1[[#This Row],[total score]]/3</f>
        <v>79</v>
      </c>
      <c r="L209" s="6" t="str">
        <f>VLOOKUP(Table1[[#This Row],[average score]],$AE$9:$AF$13,2,TRUE)</f>
        <v>C</v>
      </c>
      <c r="M2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09" s="2" t="str">
        <f>IF(OR(Table1[[#This Row],[math score]]&lt;$AC$5,Table1[[#This Row],[reading score]]&lt;$AC$5,Table1[[#This Row],[writing score]]&lt;$AC$5), "Failed atleast one", "Passed all")</f>
        <v>Passed all</v>
      </c>
      <c r="O209" t="str">
        <f>VLOOKUP(Table1[[#This Row],[average score]],$AE$9:$AG$13,3,TRUE)</f>
        <v>Satisfactory</v>
      </c>
    </row>
    <row r="210" spans="1:15" x14ac:dyDescent="0.2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t="s">
        <v>244</v>
      </c>
      <c r="J210">
        <f>SUM(Table1[[#This Row],[math score]:[writing score]])</f>
        <v>231</v>
      </c>
      <c r="K210" s="1">
        <f>Table1[[#This Row],[total score]]/3</f>
        <v>77</v>
      </c>
      <c r="L210" s="6" t="str">
        <f>VLOOKUP(Table1[[#This Row],[average score]],$AE$9:$AF$13,2,TRUE)</f>
        <v>C</v>
      </c>
      <c r="M2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10" s="2" t="str">
        <f>IF(OR(Table1[[#This Row],[math score]]&lt;$AC$5,Table1[[#This Row],[reading score]]&lt;$AC$5,Table1[[#This Row],[writing score]]&lt;$AC$5), "Failed atleast one", "Passed all")</f>
        <v>Passed all</v>
      </c>
      <c r="O210" t="str">
        <f>VLOOKUP(Table1[[#This Row],[average score]],$AE$9:$AG$13,3,TRUE)</f>
        <v>Satisfactory</v>
      </c>
    </row>
    <row r="211" spans="1:15" x14ac:dyDescent="0.2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t="s">
        <v>245</v>
      </c>
      <c r="J211">
        <f>SUM(Table1[[#This Row],[math score]:[writing score]])</f>
        <v>185</v>
      </c>
      <c r="K211" s="1">
        <f>Table1[[#This Row],[total score]]/3</f>
        <v>61.666666666666664</v>
      </c>
      <c r="L211" s="6" t="str">
        <f>VLOOKUP(Table1[[#This Row],[average score]],$AE$9:$AF$13,2,TRUE)</f>
        <v>D</v>
      </c>
      <c r="M2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11" s="2" t="str">
        <f>IF(OR(Table1[[#This Row],[math score]]&lt;$AC$5,Table1[[#This Row],[reading score]]&lt;$AC$5,Table1[[#This Row],[writing score]]&lt;$AC$5), "Failed atleast one", "Passed all")</f>
        <v>Failed atleast one</v>
      </c>
      <c r="O211" t="str">
        <f>VLOOKUP(Table1[[#This Row],[average score]],$AE$9:$AG$13,3,TRUE)</f>
        <v>Needs improvements</v>
      </c>
    </row>
    <row r="212" spans="1:15" x14ac:dyDescent="0.2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t="s">
        <v>246</v>
      </c>
      <c r="J212">
        <f>SUM(Table1[[#This Row],[math score]:[writing score]])</f>
        <v>238</v>
      </c>
      <c r="K212" s="1">
        <f>Table1[[#This Row],[total score]]/3</f>
        <v>79.333333333333329</v>
      </c>
      <c r="L212" s="6" t="str">
        <f>VLOOKUP(Table1[[#This Row],[average score]],$AE$9:$AF$13,2,TRUE)</f>
        <v>C</v>
      </c>
      <c r="M2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12" s="2" t="str">
        <f>IF(OR(Table1[[#This Row],[math score]]&lt;$AC$5,Table1[[#This Row],[reading score]]&lt;$AC$5,Table1[[#This Row],[writing score]]&lt;$AC$5), "Failed atleast one", "Passed all")</f>
        <v>Passed all</v>
      </c>
      <c r="O212" t="str">
        <f>VLOOKUP(Table1[[#This Row],[average score]],$AE$9:$AG$13,3,TRUE)</f>
        <v>Satisfactory</v>
      </c>
    </row>
    <row r="213" spans="1:15" x14ac:dyDescent="0.2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t="s">
        <v>247</v>
      </c>
      <c r="J213">
        <f>SUM(Table1[[#This Row],[math score]:[writing score]])</f>
        <v>90</v>
      </c>
      <c r="K213" s="1">
        <f>Table1[[#This Row],[total score]]/3</f>
        <v>30</v>
      </c>
      <c r="L213" s="6" t="str">
        <f>VLOOKUP(Table1[[#This Row],[average score]],$AE$9:$AF$13,2,TRUE)</f>
        <v>F</v>
      </c>
      <c r="M2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13" s="2" t="str">
        <f>IF(OR(Table1[[#This Row],[math score]]&lt;$AC$5,Table1[[#This Row],[reading score]]&lt;$AC$5,Table1[[#This Row],[writing score]]&lt;$AC$5), "Failed atleast one", "Passed all")</f>
        <v>Failed atleast one</v>
      </c>
      <c r="O213" t="str">
        <f>VLOOKUP(Table1[[#This Row],[average score]],$AE$9:$AG$13,3,TRUE)</f>
        <v>Poor</v>
      </c>
    </row>
    <row r="214" spans="1:15" x14ac:dyDescent="0.2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t="s">
        <v>248</v>
      </c>
      <c r="J214">
        <f>SUM(Table1[[#This Row],[math score]:[writing score]])</f>
        <v>164</v>
      </c>
      <c r="K214" s="1">
        <f>Table1[[#This Row],[total score]]/3</f>
        <v>54.666666666666664</v>
      </c>
      <c r="L214" s="6" t="str">
        <f>VLOOKUP(Table1[[#This Row],[average score]],$AE$9:$AF$13,2,TRUE)</f>
        <v>F</v>
      </c>
      <c r="M2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14" s="2" t="str">
        <f>IF(OR(Table1[[#This Row],[math score]]&lt;$AC$5,Table1[[#This Row],[reading score]]&lt;$AC$5,Table1[[#This Row],[writing score]]&lt;$AC$5), "Failed atleast one", "Passed all")</f>
        <v>Failed atleast one</v>
      </c>
      <c r="O214" t="str">
        <f>VLOOKUP(Table1[[#This Row],[average score]],$AE$9:$AG$13,3,TRUE)</f>
        <v>Poor</v>
      </c>
    </row>
    <row r="215" spans="1:15" x14ac:dyDescent="0.2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t="s">
        <v>249</v>
      </c>
      <c r="J215">
        <f>SUM(Table1[[#This Row],[math score]:[writing score]])</f>
        <v>167</v>
      </c>
      <c r="K215" s="1">
        <f>Table1[[#This Row],[total score]]/3</f>
        <v>55.666666666666664</v>
      </c>
      <c r="L215" s="6" t="str">
        <f>VLOOKUP(Table1[[#This Row],[average score]],$AE$9:$AF$13,2,TRUE)</f>
        <v>F</v>
      </c>
      <c r="M2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15" s="2" t="str">
        <f>IF(OR(Table1[[#This Row],[math score]]&lt;$AC$5,Table1[[#This Row],[reading score]]&lt;$AC$5,Table1[[#This Row],[writing score]]&lt;$AC$5), "Failed atleast one", "Passed all")</f>
        <v>Failed atleast one</v>
      </c>
      <c r="O215" t="str">
        <f>VLOOKUP(Table1[[#This Row],[average score]],$AE$9:$AG$13,3,TRUE)</f>
        <v>Poor</v>
      </c>
    </row>
    <row r="216" spans="1:15" x14ac:dyDescent="0.2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t="s">
        <v>250</v>
      </c>
      <c r="J216">
        <f>SUM(Table1[[#This Row],[math score]:[writing score]])</f>
        <v>259</v>
      </c>
      <c r="K216" s="1">
        <f>Table1[[#This Row],[total score]]/3</f>
        <v>86.333333333333329</v>
      </c>
      <c r="L216" s="6" t="str">
        <f>VLOOKUP(Table1[[#This Row],[average score]],$AE$9:$AF$13,2,TRUE)</f>
        <v>B</v>
      </c>
      <c r="M2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16" s="2" t="str">
        <f>IF(OR(Table1[[#This Row],[math score]]&lt;$AC$5,Table1[[#This Row],[reading score]]&lt;$AC$5,Table1[[#This Row],[writing score]]&lt;$AC$5), "Failed atleast one", "Passed all")</f>
        <v>Passed all</v>
      </c>
      <c r="O216" t="str">
        <f>VLOOKUP(Table1[[#This Row],[average score]],$AE$9:$AG$13,3,TRUE)</f>
        <v xml:space="preserve">Good </v>
      </c>
    </row>
    <row r="217" spans="1:15" x14ac:dyDescent="0.2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t="s">
        <v>251</v>
      </c>
      <c r="J217">
        <f>SUM(Table1[[#This Row],[math score]:[writing score]])</f>
        <v>242</v>
      </c>
      <c r="K217" s="1">
        <f>Table1[[#This Row],[total score]]/3</f>
        <v>80.666666666666671</v>
      </c>
      <c r="L217" s="6" t="str">
        <f>VLOOKUP(Table1[[#This Row],[average score]],$AE$9:$AF$13,2,TRUE)</f>
        <v>B</v>
      </c>
      <c r="M2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17" s="2" t="str">
        <f>IF(OR(Table1[[#This Row],[math score]]&lt;$AC$5,Table1[[#This Row],[reading score]]&lt;$AC$5,Table1[[#This Row],[writing score]]&lt;$AC$5), "Failed atleast one", "Passed all")</f>
        <v>Passed all</v>
      </c>
      <c r="O217" t="str">
        <f>VLOOKUP(Table1[[#This Row],[average score]],$AE$9:$AG$13,3,TRUE)</f>
        <v xml:space="preserve">Good </v>
      </c>
    </row>
    <row r="218" spans="1:15" x14ac:dyDescent="0.2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t="s">
        <v>252</v>
      </c>
      <c r="J218">
        <f>SUM(Table1[[#This Row],[math score]:[writing score]])</f>
        <v>257</v>
      </c>
      <c r="K218" s="1">
        <f>Table1[[#This Row],[total score]]/3</f>
        <v>85.666666666666671</v>
      </c>
      <c r="L218" s="6" t="str">
        <f>VLOOKUP(Table1[[#This Row],[average score]],$AE$9:$AF$13,2,TRUE)</f>
        <v>B</v>
      </c>
      <c r="M2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18" s="2" t="str">
        <f>IF(OR(Table1[[#This Row],[math score]]&lt;$AC$5,Table1[[#This Row],[reading score]]&lt;$AC$5,Table1[[#This Row],[writing score]]&lt;$AC$5), "Failed atleast one", "Passed all")</f>
        <v>Passed all</v>
      </c>
      <c r="O218" t="str">
        <f>VLOOKUP(Table1[[#This Row],[average score]],$AE$9:$AG$13,3,TRUE)</f>
        <v xml:space="preserve">Good </v>
      </c>
    </row>
    <row r="219" spans="1:15" x14ac:dyDescent="0.2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t="s">
        <v>253</v>
      </c>
      <c r="J219">
        <f>SUM(Table1[[#This Row],[math score]:[writing score]])</f>
        <v>115</v>
      </c>
      <c r="K219" s="1">
        <f>Table1[[#This Row],[total score]]/3</f>
        <v>38.333333333333336</v>
      </c>
      <c r="L219" s="6" t="str">
        <f>VLOOKUP(Table1[[#This Row],[average score]],$AE$9:$AF$13,2,TRUE)</f>
        <v>F</v>
      </c>
      <c r="M2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19" s="2" t="str">
        <f>IF(OR(Table1[[#This Row],[math score]]&lt;$AC$5,Table1[[#This Row],[reading score]]&lt;$AC$5,Table1[[#This Row],[writing score]]&lt;$AC$5), "Failed atleast one", "Passed all")</f>
        <v>Failed atleast one</v>
      </c>
      <c r="O219" t="str">
        <f>VLOOKUP(Table1[[#This Row],[average score]],$AE$9:$AG$13,3,TRUE)</f>
        <v>Poor</v>
      </c>
    </row>
    <row r="220" spans="1:15" x14ac:dyDescent="0.2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t="s">
        <v>254</v>
      </c>
      <c r="J220">
        <f>SUM(Table1[[#This Row],[math score]:[writing score]])</f>
        <v>213</v>
      </c>
      <c r="K220" s="1">
        <f>Table1[[#This Row],[total score]]/3</f>
        <v>71</v>
      </c>
      <c r="L220" s="6" t="str">
        <f>VLOOKUP(Table1[[#This Row],[average score]],$AE$9:$AF$13,2,TRUE)</f>
        <v>C</v>
      </c>
      <c r="M2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20" s="2" t="str">
        <f>IF(OR(Table1[[#This Row],[math score]]&lt;$AC$5,Table1[[#This Row],[reading score]]&lt;$AC$5,Table1[[#This Row],[writing score]]&lt;$AC$5), "Failed atleast one", "Passed all")</f>
        <v>Passed all</v>
      </c>
      <c r="O220" t="str">
        <f>VLOOKUP(Table1[[#This Row],[average score]],$AE$9:$AG$13,3,TRUE)</f>
        <v>Satisfactory</v>
      </c>
    </row>
    <row r="221" spans="1:15" x14ac:dyDescent="0.2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t="s">
        <v>255</v>
      </c>
      <c r="J221">
        <f>SUM(Table1[[#This Row],[math score]:[writing score]])</f>
        <v>173</v>
      </c>
      <c r="K221" s="1">
        <f>Table1[[#This Row],[total score]]/3</f>
        <v>57.666666666666664</v>
      </c>
      <c r="L221" s="6" t="str">
        <f>VLOOKUP(Table1[[#This Row],[average score]],$AE$9:$AF$13,2,TRUE)</f>
        <v>F</v>
      </c>
      <c r="M2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21" s="2" t="str">
        <f>IF(OR(Table1[[#This Row],[math score]]&lt;$AC$5,Table1[[#This Row],[reading score]]&lt;$AC$5,Table1[[#This Row],[writing score]]&lt;$AC$5), "Failed atleast one", "Passed all")</f>
        <v>Failed atleast one</v>
      </c>
      <c r="O221" t="str">
        <f>VLOOKUP(Table1[[#This Row],[average score]],$AE$9:$AG$13,3,TRUE)</f>
        <v>Poor</v>
      </c>
    </row>
    <row r="222" spans="1:15" x14ac:dyDescent="0.2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t="s">
        <v>256</v>
      </c>
      <c r="J222">
        <f>SUM(Table1[[#This Row],[math score]:[writing score]])</f>
        <v>198</v>
      </c>
      <c r="K222" s="1">
        <f>Table1[[#This Row],[total score]]/3</f>
        <v>66</v>
      </c>
      <c r="L222" s="6" t="str">
        <f>VLOOKUP(Table1[[#This Row],[average score]],$AE$9:$AF$13,2,TRUE)</f>
        <v>D</v>
      </c>
      <c r="M2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22" s="2" t="str">
        <f>IF(OR(Table1[[#This Row],[math score]]&lt;$AC$5,Table1[[#This Row],[reading score]]&lt;$AC$5,Table1[[#This Row],[writing score]]&lt;$AC$5), "Failed atleast one", "Passed all")</f>
        <v>Failed atleast one</v>
      </c>
      <c r="O222" t="str">
        <f>VLOOKUP(Table1[[#This Row],[average score]],$AE$9:$AG$13,3,TRUE)</f>
        <v>Needs improvements</v>
      </c>
    </row>
    <row r="223" spans="1:15" x14ac:dyDescent="0.2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t="s">
        <v>257</v>
      </c>
      <c r="J223">
        <f>SUM(Table1[[#This Row],[math score]:[writing score]])</f>
        <v>245</v>
      </c>
      <c r="K223" s="1">
        <f>Table1[[#This Row],[total score]]/3</f>
        <v>81.666666666666671</v>
      </c>
      <c r="L223" s="6" t="str">
        <f>VLOOKUP(Table1[[#This Row],[average score]],$AE$9:$AF$13,2,TRUE)</f>
        <v>B</v>
      </c>
      <c r="M2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23" s="2" t="str">
        <f>IF(OR(Table1[[#This Row],[math score]]&lt;$AC$5,Table1[[#This Row],[reading score]]&lt;$AC$5,Table1[[#This Row],[writing score]]&lt;$AC$5), "Failed atleast one", "Passed all")</f>
        <v>Passed all</v>
      </c>
      <c r="O223" t="str">
        <f>VLOOKUP(Table1[[#This Row],[average score]],$AE$9:$AG$13,3,TRUE)</f>
        <v xml:space="preserve">Good </v>
      </c>
    </row>
    <row r="224" spans="1:15" x14ac:dyDescent="0.2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t="s">
        <v>258</v>
      </c>
      <c r="J224">
        <f>SUM(Table1[[#This Row],[math score]:[writing score]])</f>
        <v>182</v>
      </c>
      <c r="K224" s="1">
        <f>Table1[[#This Row],[total score]]/3</f>
        <v>60.666666666666664</v>
      </c>
      <c r="L224" s="6" t="str">
        <f>VLOOKUP(Table1[[#This Row],[average score]],$AE$9:$AF$13,2,TRUE)</f>
        <v>D</v>
      </c>
      <c r="M2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24" s="2" t="str">
        <f>IF(OR(Table1[[#This Row],[math score]]&lt;$AC$5,Table1[[#This Row],[reading score]]&lt;$AC$5,Table1[[#This Row],[writing score]]&lt;$AC$5), "Failed atleast one", "Passed all")</f>
        <v>Failed atleast one</v>
      </c>
      <c r="O224" t="str">
        <f>VLOOKUP(Table1[[#This Row],[average score]],$AE$9:$AG$13,3,TRUE)</f>
        <v>Needs improvements</v>
      </c>
    </row>
    <row r="225" spans="1:15" x14ac:dyDescent="0.2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t="s">
        <v>259</v>
      </c>
      <c r="J225">
        <f>SUM(Table1[[#This Row],[math score]:[writing score]])</f>
        <v>241</v>
      </c>
      <c r="K225" s="1">
        <f>Table1[[#This Row],[total score]]/3</f>
        <v>80.333333333333329</v>
      </c>
      <c r="L225" s="6" t="str">
        <f>VLOOKUP(Table1[[#This Row],[average score]],$AE$9:$AF$13,2,TRUE)</f>
        <v>B</v>
      </c>
      <c r="M2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25" s="2" t="str">
        <f>IF(OR(Table1[[#This Row],[math score]]&lt;$AC$5,Table1[[#This Row],[reading score]]&lt;$AC$5,Table1[[#This Row],[writing score]]&lt;$AC$5), "Failed atleast one", "Passed all")</f>
        <v>Passed all</v>
      </c>
      <c r="O225" t="str">
        <f>VLOOKUP(Table1[[#This Row],[average score]],$AE$9:$AG$13,3,TRUE)</f>
        <v xml:space="preserve">Good </v>
      </c>
    </row>
    <row r="226" spans="1:15" x14ac:dyDescent="0.2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t="s">
        <v>260</v>
      </c>
      <c r="J226">
        <f>SUM(Table1[[#This Row],[math score]:[writing score]])</f>
        <v>191</v>
      </c>
      <c r="K226" s="1">
        <f>Table1[[#This Row],[total score]]/3</f>
        <v>63.666666666666664</v>
      </c>
      <c r="L226" s="6" t="str">
        <f>VLOOKUP(Table1[[#This Row],[average score]],$AE$9:$AF$13,2,TRUE)</f>
        <v>D</v>
      </c>
      <c r="M2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26" s="2" t="str">
        <f>IF(OR(Table1[[#This Row],[math score]]&lt;$AC$5,Table1[[#This Row],[reading score]]&lt;$AC$5,Table1[[#This Row],[writing score]]&lt;$AC$5), "Failed atleast one", "Passed all")</f>
        <v>Failed atleast one</v>
      </c>
      <c r="O226" t="str">
        <f>VLOOKUP(Table1[[#This Row],[average score]],$AE$9:$AG$13,3,TRUE)</f>
        <v>Needs improvements</v>
      </c>
    </row>
    <row r="227" spans="1:15" x14ac:dyDescent="0.2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t="s">
        <v>261</v>
      </c>
      <c r="J227">
        <f>SUM(Table1[[#This Row],[math score]:[writing score]])</f>
        <v>155</v>
      </c>
      <c r="K227" s="1">
        <f>Table1[[#This Row],[total score]]/3</f>
        <v>51.666666666666664</v>
      </c>
      <c r="L227" s="6" t="str">
        <f>VLOOKUP(Table1[[#This Row],[average score]],$AE$9:$AF$13,2,TRUE)</f>
        <v>F</v>
      </c>
      <c r="M2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27" s="2" t="str">
        <f>IF(OR(Table1[[#This Row],[math score]]&lt;$AC$5,Table1[[#This Row],[reading score]]&lt;$AC$5,Table1[[#This Row],[writing score]]&lt;$AC$5), "Failed atleast one", "Passed all")</f>
        <v>Failed atleast one</v>
      </c>
      <c r="O227" t="str">
        <f>VLOOKUP(Table1[[#This Row],[average score]],$AE$9:$AG$13,3,TRUE)</f>
        <v>Poor</v>
      </c>
    </row>
    <row r="228" spans="1:15" x14ac:dyDescent="0.2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t="s">
        <v>262</v>
      </c>
      <c r="J228">
        <f>SUM(Table1[[#This Row],[math score]:[writing score]])</f>
        <v>215</v>
      </c>
      <c r="K228" s="1">
        <f>Table1[[#This Row],[total score]]/3</f>
        <v>71.666666666666671</v>
      </c>
      <c r="L228" s="6" t="str">
        <f>VLOOKUP(Table1[[#This Row],[average score]],$AE$9:$AF$13,2,TRUE)</f>
        <v>C</v>
      </c>
      <c r="M2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28" s="2" t="str">
        <f>IF(OR(Table1[[#This Row],[math score]]&lt;$AC$5,Table1[[#This Row],[reading score]]&lt;$AC$5,Table1[[#This Row],[writing score]]&lt;$AC$5), "Failed atleast one", "Passed all")</f>
        <v>Passed all</v>
      </c>
      <c r="O228" t="str">
        <f>VLOOKUP(Table1[[#This Row],[average score]],$AE$9:$AG$13,3,TRUE)</f>
        <v>Satisfactory</v>
      </c>
    </row>
    <row r="229" spans="1:15" x14ac:dyDescent="0.2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t="s">
        <v>263</v>
      </c>
      <c r="J229">
        <f>SUM(Table1[[#This Row],[math score]:[writing score]])</f>
        <v>161</v>
      </c>
      <c r="K229" s="1">
        <f>Table1[[#This Row],[total score]]/3</f>
        <v>53.666666666666664</v>
      </c>
      <c r="L229" s="6" t="str">
        <f>VLOOKUP(Table1[[#This Row],[average score]],$AE$9:$AF$13,2,TRUE)</f>
        <v>F</v>
      </c>
      <c r="M2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29" s="2" t="str">
        <f>IF(OR(Table1[[#This Row],[math score]]&lt;$AC$5,Table1[[#This Row],[reading score]]&lt;$AC$5,Table1[[#This Row],[writing score]]&lt;$AC$5), "Failed atleast one", "Passed all")</f>
        <v>Failed atleast one</v>
      </c>
      <c r="O229" t="str">
        <f>VLOOKUP(Table1[[#This Row],[average score]],$AE$9:$AG$13,3,TRUE)</f>
        <v>Poor</v>
      </c>
    </row>
    <row r="230" spans="1:15" x14ac:dyDescent="0.2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t="s">
        <v>264</v>
      </c>
      <c r="J230">
        <f>SUM(Table1[[#This Row],[math score]:[writing score]])</f>
        <v>204</v>
      </c>
      <c r="K230" s="1">
        <f>Table1[[#This Row],[total score]]/3</f>
        <v>68</v>
      </c>
      <c r="L230" s="6" t="str">
        <f>VLOOKUP(Table1[[#This Row],[average score]],$AE$9:$AF$13,2,TRUE)</f>
        <v>D</v>
      </c>
      <c r="M2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30" s="2" t="str">
        <f>IF(OR(Table1[[#This Row],[math score]]&lt;$AC$5,Table1[[#This Row],[reading score]]&lt;$AC$5,Table1[[#This Row],[writing score]]&lt;$AC$5), "Failed atleast one", "Passed all")</f>
        <v>Passed all</v>
      </c>
      <c r="O230" t="str">
        <f>VLOOKUP(Table1[[#This Row],[average score]],$AE$9:$AG$13,3,TRUE)</f>
        <v>Needs improvements</v>
      </c>
    </row>
    <row r="231" spans="1:15" x14ac:dyDescent="0.2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t="s">
        <v>265</v>
      </c>
      <c r="J231">
        <f>SUM(Table1[[#This Row],[math score]:[writing score]])</f>
        <v>277</v>
      </c>
      <c r="K231" s="1">
        <f>Table1[[#This Row],[total score]]/3</f>
        <v>92.333333333333329</v>
      </c>
      <c r="L231" s="6" t="str">
        <f>VLOOKUP(Table1[[#This Row],[average score]],$AE$9:$AF$13,2,TRUE)</f>
        <v>A</v>
      </c>
      <c r="M2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231" s="2" t="str">
        <f>IF(OR(Table1[[#This Row],[math score]]&lt;$AC$5,Table1[[#This Row],[reading score]]&lt;$AC$5,Table1[[#This Row],[writing score]]&lt;$AC$5), "Failed atleast one", "Passed all")</f>
        <v>Passed all</v>
      </c>
      <c r="O231" t="str">
        <f>VLOOKUP(Table1[[#This Row],[average score]],$AE$9:$AG$13,3,TRUE)</f>
        <v>Outstanding</v>
      </c>
    </row>
    <row r="232" spans="1:15" x14ac:dyDescent="0.2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t="s">
        <v>266</v>
      </c>
      <c r="J232">
        <f>SUM(Table1[[#This Row],[math score]:[writing score]])</f>
        <v>206</v>
      </c>
      <c r="K232" s="1">
        <f>Table1[[#This Row],[total score]]/3</f>
        <v>68.666666666666671</v>
      </c>
      <c r="L232" s="6" t="str">
        <f>VLOOKUP(Table1[[#This Row],[average score]],$AE$9:$AF$13,2,TRUE)</f>
        <v>D</v>
      </c>
      <c r="M2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32" s="2" t="str">
        <f>IF(OR(Table1[[#This Row],[math score]]&lt;$AC$5,Table1[[#This Row],[reading score]]&lt;$AC$5,Table1[[#This Row],[writing score]]&lt;$AC$5), "Failed atleast one", "Passed all")</f>
        <v>Passed all</v>
      </c>
      <c r="O232" t="str">
        <f>VLOOKUP(Table1[[#This Row],[average score]],$AE$9:$AG$13,3,TRUE)</f>
        <v>Needs improvements</v>
      </c>
    </row>
    <row r="233" spans="1:15" x14ac:dyDescent="0.2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t="s">
        <v>267</v>
      </c>
      <c r="J233">
        <f>SUM(Table1[[#This Row],[math score]:[writing score]])</f>
        <v>131</v>
      </c>
      <c r="K233" s="1">
        <f>Table1[[#This Row],[total score]]/3</f>
        <v>43.666666666666664</v>
      </c>
      <c r="L233" s="6" t="str">
        <f>VLOOKUP(Table1[[#This Row],[average score]],$AE$9:$AF$13,2,TRUE)</f>
        <v>F</v>
      </c>
      <c r="M2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33" s="2" t="str">
        <f>IF(OR(Table1[[#This Row],[math score]]&lt;$AC$5,Table1[[#This Row],[reading score]]&lt;$AC$5,Table1[[#This Row],[writing score]]&lt;$AC$5), "Failed atleast one", "Passed all")</f>
        <v>Failed atleast one</v>
      </c>
      <c r="O233" t="str">
        <f>VLOOKUP(Table1[[#This Row],[average score]],$AE$9:$AG$13,3,TRUE)</f>
        <v>Poor</v>
      </c>
    </row>
    <row r="234" spans="1:15" x14ac:dyDescent="0.2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t="s">
        <v>268</v>
      </c>
      <c r="J234">
        <f>SUM(Table1[[#This Row],[math score]:[writing score]])</f>
        <v>236</v>
      </c>
      <c r="K234" s="1">
        <f>Table1[[#This Row],[total score]]/3</f>
        <v>78.666666666666671</v>
      </c>
      <c r="L234" s="6" t="str">
        <f>VLOOKUP(Table1[[#This Row],[average score]],$AE$9:$AF$13,2,TRUE)</f>
        <v>C</v>
      </c>
      <c r="M2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34" s="2" t="str">
        <f>IF(OR(Table1[[#This Row],[math score]]&lt;$AC$5,Table1[[#This Row],[reading score]]&lt;$AC$5,Table1[[#This Row],[writing score]]&lt;$AC$5), "Failed atleast one", "Passed all")</f>
        <v>Passed all</v>
      </c>
      <c r="O234" t="str">
        <f>VLOOKUP(Table1[[#This Row],[average score]],$AE$9:$AG$13,3,TRUE)</f>
        <v>Satisfactory</v>
      </c>
    </row>
    <row r="235" spans="1:15" x14ac:dyDescent="0.2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t="s">
        <v>269</v>
      </c>
      <c r="J235">
        <f>SUM(Table1[[#This Row],[math score]:[writing score]])</f>
        <v>257</v>
      </c>
      <c r="K235" s="1">
        <f>Table1[[#This Row],[total score]]/3</f>
        <v>85.666666666666671</v>
      </c>
      <c r="L235" s="6" t="str">
        <f>VLOOKUP(Table1[[#This Row],[average score]],$AE$9:$AF$13,2,TRUE)</f>
        <v>B</v>
      </c>
      <c r="M2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35" s="2" t="str">
        <f>IF(OR(Table1[[#This Row],[math score]]&lt;$AC$5,Table1[[#This Row],[reading score]]&lt;$AC$5,Table1[[#This Row],[writing score]]&lt;$AC$5), "Failed atleast one", "Passed all")</f>
        <v>Passed all</v>
      </c>
      <c r="O235" t="str">
        <f>VLOOKUP(Table1[[#This Row],[average score]],$AE$9:$AG$13,3,TRUE)</f>
        <v xml:space="preserve">Good </v>
      </c>
    </row>
    <row r="236" spans="1:15" x14ac:dyDescent="0.2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t="s">
        <v>270</v>
      </c>
      <c r="J236">
        <f>SUM(Table1[[#This Row],[math score]:[writing score]])</f>
        <v>249</v>
      </c>
      <c r="K236" s="1">
        <f>Table1[[#This Row],[total score]]/3</f>
        <v>83</v>
      </c>
      <c r="L236" s="6" t="str">
        <f>VLOOKUP(Table1[[#This Row],[average score]],$AE$9:$AF$13,2,TRUE)</f>
        <v>B</v>
      </c>
      <c r="M2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36" s="2" t="str">
        <f>IF(OR(Table1[[#This Row],[math score]]&lt;$AC$5,Table1[[#This Row],[reading score]]&lt;$AC$5,Table1[[#This Row],[writing score]]&lt;$AC$5), "Failed atleast one", "Passed all")</f>
        <v>Passed all</v>
      </c>
      <c r="O236" t="str">
        <f>VLOOKUP(Table1[[#This Row],[average score]],$AE$9:$AG$13,3,TRUE)</f>
        <v xml:space="preserve">Good </v>
      </c>
    </row>
    <row r="237" spans="1:15" x14ac:dyDescent="0.2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t="s">
        <v>271</v>
      </c>
      <c r="J237">
        <f>SUM(Table1[[#This Row],[math score]:[writing score]])</f>
        <v>232</v>
      </c>
      <c r="K237" s="1">
        <f>Table1[[#This Row],[total score]]/3</f>
        <v>77.333333333333329</v>
      </c>
      <c r="L237" s="6" t="str">
        <f>VLOOKUP(Table1[[#This Row],[average score]],$AE$9:$AF$13,2,TRUE)</f>
        <v>C</v>
      </c>
      <c r="M2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37" s="2" t="str">
        <f>IF(OR(Table1[[#This Row],[math score]]&lt;$AC$5,Table1[[#This Row],[reading score]]&lt;$AC$5,Table1[[#This Row],[writing score]]&lt;$AC$5), "Failed atleast one", "Passed all")</f>
        <v>Passed all</v>
      </c>
      <c r="O237" t="str">
        <f>VLOOKUP(Table1[[#This Row],[average score]],$AE$9:$AG$13,3,TRUE)</f>
        <v>Satisfactory</v>
      </c>
    </row>
    <row r="238" spans="1:15" x14ac:dyDescent="0.2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t="s">
        <v>272</v>
      </c>
      <c r="J238">
        <f>SUM(Table1[[#This Row],[math score]:[writing score]])</f>
        <v>196</v>
      </c>
      <c r="K238" s="1">
        <f>Table1[[#This Row],[total score]]/3</f>
        <v>65.333333333333329</v>
      </c>
      <c r="L238" s="6" t="str">
        <f>VLOOKUP(Table1[[#This Row],[average score]],$AE$9:$AF$13,2,TRUE)</f>
        <v>D</v>
      </c>
      <c r="M2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38" s="2" t="str">
        <f>IF(OR(Table1[[#This Row],[math score]]&lt;$AC$5,Table1[[#This Row],[reading score]]&lt;$AC$5,Table1[[#This Row],[writing score]]&lt;$AC$5), "Failed atleast one", "Passed all")</f>
        <v>Passed all</v>
      </c>
      <c r="O238" t="str">
        <f>VLOOKUP(Table1[[#This Row],[average score]],$AE$9:$AG$13,3,TRUE)</f>
        <v>Needs improvements</v>
      </c>
    </row>
    <row r="239" spans="1:15" x14ac:dyDescent="0.2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t="s">
        <v>273</v>
      </c>
      <c r="J239">
        <f>SUM(Table1[[#This Row],[math score]:[writing score]])</f>
        <v>198</v>
      </c>
      <c r="K239" s="1">
        <f>Table1[[#This Row],[total score]]/3</f>
        <v>66</v>
      </c>
      <c r="L239" s="6" t="str">
        <f>VLOOKUP(Table1[[#This Row],[average score]],$AE$9:$AF$13,2,TRUE)</f>
        <v>D</v>
      </c>
      <c r="M2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39" s="2" t="str">
        <f>IF(OR(Table1[[#This Row],[math score]]&lt;$AC$5,Table1[[#This Row],[reading score]]&lt;$AC$5,Table1[[#This Row],[writing score]]&lt;$AC$5), "Failed atleast one", "Passed all")</f>
        <v>Passed all</v>
      </c>
      <c r="O239" t="str">
        <f>VLOOKUP(Table1[[#This Row],[average score]],$AE$9:$AG$13,3,TRUE)</f>
        <v>Needs improvements</v>
      </c>
    </row>
    <row r="240" spans="1:15" x14ac:dyDescent="0.2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t="s">
        <v>274</v>
      </c>
      <c r="J240">
        <f>SUM(Table1[[#This Row],[math score]:[writing score]])</f>
        <v>157</v>
      </c>
      <c r="K240" s="1">
        <f>Table1[[#This Row],[total score]]/3</f>
        <v>52.333333333333336</v>
      </c>
      <c r="L240" s="6" t="str">
        <f>VLOOKUP(Table1[[#This Row],[average score]],$AE$9:$AF$13,2,TRUE)</f>
        <v>F</v>
      </c>
      <c r="M2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40" s="2" t="str">
        <f>IF(OR(Table1[[#This Row],[math score]]&lt;$AC$5,Table1[[#This Row],[reading score]]&lt;$AC$5,Table1[[#This Row],[writing score]]&lt;$AC$5), "Failed atleast one", "Passed all")</f>
        <v>Failed atleast one</v>
      </c>
      <c r="O240" t="str">
        <f>VLOOKUP(Table1[[#This Row],[average score]],$AE$9:$AG$13,3,TRUE)</f>
        <v>Poor</v>
      </c>
    </row>
    <row r="241" spans="1:15" x14ac:dyDescent="0.2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t="s">
        <v>275</v>
      </c>
      <c r="J241">
        <f>SUM(Table1[[#This Row],[math score]:[writing score]])</f>
        <v>244</v>
      </c>
      <c r="K241" s="1">
        <f>Table1[[#This Row],[total score]]/3</f>
        <v>81.333333333333329</v>
      </c>
      <c r="L241" s="6" t="str">
        <f>VLOOKUP(Table1[[#This Row],[average score]],$AE$9:$AF$13,2,TRUE)</f>
        <v>B</v>
      </c>
      <c r="M2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41" s="2" t="str">
        <f>IF(OR(Table1[[#This Row],[math score]]&lt;$AC$5,Table1[[#This Row],[reading score]]&lt;$AC$5,Table1[[#This Row],[writing score]]&lt;$AC$5), "Failed atleast one", "Passed all")</f>
        <v>Passed all</v>
      </c>
      <c r="O241" t="str">
        <f>VLOOKUP(Table1[[#This Row],[average score]],$AE$9:$AG$13,3,TRUE)</f>
        <v xml:space="preserve">Good </v>
      </c>
    </row>
    <row r="242" spans="1:15" x14ac:dyDescent="0.2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t="s">
        <v>276</v>
      </c>
      <c r="J242">
        <f>SUM(Table1[[#This Row],[math score]:[writing score]])</f>
        <v>207</v>
      </c>
      <c r="K242" s="1">
        <f>Table1[[#This Row],[total score]]/3</f>
        <v>69</v>
      </c>
      <c r="L242" s="6" t="str">
        <f>VLOOKUP(Table1[[#This Row],[average score]],$AE$9:$AF$13,2,TRUE)</f>
        <v>D</v>
      </c>
      <c r="M2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42" s="2" t="str">
        <f>IF(OR(Table1[[#This Row],[math score]]&lt;$AC$5,Table1[[#This Row],[reading score]]&lt;$AC$5,Table1[[#This Row],[writing score]]&lt;$AC$5), "Failed atleast one", "Passed all")</f>
        <v>Passed all</v>
      </c>
      <c r="O242" t="str">
        <f>VLOOKUP(Table1[[#This Row],[average score]],$AE$9:$AG$13,3,TRUE)</f>
        <v>Needs improvements</v>
      </c>
    </row>
    <row r="243" spans="1:15" x14ac:dyDescent="0.2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t="s">
        <v>277</v>
      </c>
      <c r="J243">
        <f>SUM(Table1[[#This Row],[math score]:[writing score]])</f>
        <v>246</v>
      </c>
      <c r="K243" s="1">
        <f>Table1[[#This Row],[total score]]/3</f>
        <v>82</v>
      </c>
      <c r="L243" s="6" t="str">
        <f>VLOOKUP(Table1[[#This Row],[average score]],$AE$9:$AF$13,2,TRUE)</f>
        <v>B</v>
      </c>
      <c r="M2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43" s="2" t="str">
        <f>IF(OR(Table1[[#This Row],[math score]]&lt;$AC$5,Table1[[#This Row],[reading score]]&lt;$AC$5,Table1[[#This Row],[writing score]]&lt;$AC$5), "Failed atleast one", "Passed all")</f>
        <v>Passed all</v>
      </c>
      <c r="O243" t="str">
        <f>VLOOKUP(Table1[[#This Row],[average score]],$AE$9:$AG$13,3,TRUE)</f>
        <v xml:space="preserve">Good </v>
      </c>
    </row>
    <row r="244" spans="1:15" x14ac:dyDescent="0.2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t="s">
        <v>278</v>
      </c>
      <c r="J244">
        <f>SUM(Table1[[#This Row],[math score]:[writing score]])</f>
        <v>163</v>
      </c>
      <c r="K244" s="1">
        <f>Table1[[#This Row],[total score]]/3</f>
        <v>54.333333333333336</v>
      </c>
      <c r="L244" s="6" t="str">
        <f>VLOOKUP(Table1[[#This Row],[average score]],$AE$9:$AF$13,2,TRUE)</f>
        <v>F</v>
      </c>
      <c r="M2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44" s="2" t="str">
        <f>IF(OR(Table1[[#This Row],[math score]]&lt;$AC$5,Table1[[#This Row],[reading score]]&lt;$AC$5,Table1[[#This Row],[writing score]]&lt;$AC$5), "Failed atleast one", "Passed all")</f>
        <v>Failed atleast one</v>
      </c>
      <c r="O244" t="str">
        <f>VLOOKUP(Table1[[#This Row],[average score]],$AE$9:$AG$13,3,TRUE)</f>
        <v>Poor</v>
      </c>
    </row>
    <row r="245" spans="1:15" x14ac:dyDescent="0.2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t="s">
        <v>279</v>
      </c>
      <c r="J245">
        <f>SUM(Table1[[#This Row],[math score]:[writing score]])</f>
        <v>153</v>
      </c>
      <c r="K245" s="1">
        <f>Table1[[#This Row],[total score]]/3</f>
        <v>51</v>
      </c>
      <c r="L245" s="6" t="str">
        <f>VLOOKUP(Table1[[#This Row],[average score]],$AE$9:$AF$13,2,TRUE)</f>
        <v>F</v>
      </c>
      <c r="M2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45" s="2" t="str">
        <f>IF(OR(Table1[[#This Row],[math score]]&lt;$AC$5,Table1[[#This Row],[reading score]]&lt;$AC$5,Table1[[#This Row],[writing score]]&lt;$AC$5), "Failed atleast one", "Passed all")</f>
        <v>Failed atleast one</v>
      </c>
      <c r="O245" t="str">
        <f>VLOOKUP(Table1[[#This Row],[average score]],$AE$9:$AG$13,3,TRUE)</f>
        <v>Poor</v>
      </c>
    </row>
    <row r="246" spans="1:15" x14ac:dyDescent="0.2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t="s">
        <v>280</v>
      </c>
      <c r="J246">
        <f>SUM(Table1[[#This Row],[math score]:[writing score]])</f>
        <v>218</v>
      </c>
      <c r="K246" s="1">
        <f>Table1[[#This Row],[total score]]/3</f>
        <v>72.666666666666671</v>
      </c>
      <c r="L246" s="6" t="str">
        <f>VLOOKUP(Table1[[#This Row],[average score]],$AE$9:$AF$13,2,TRUE)</f>
        <v>C</v>
      </c>
      <c r="M2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46" s="2" t="str">
        <f>IF(OR(Table1[[#This Row],[math score]]&lt;$AC$5,Table1[[#This Row],[reading score]]&lt;$AC$5,Table1[[#This Row],[writing score]]&lt;$AC$5), "Failed atleast one", "Passed all")</f>
        <v>Passed all</v>
      </c>
      <c r="O246" t="str">
        <f>VLOOKUP(Table1[[#This Row],[average score]],$AE$9:$AG$13,3,TRUE)</f>
        <v>Satisfactory</v>
      </c>
    </row>
    <row r="247" spans="1:15" x14ac:dyDescent="0.2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t="s">
        <v>281</v>
      </c>
      <c r="J247">
        <f>SUM(Table1[[#This Row],[math score]:[writing score]])</f>
        <v>232</v>
      </c>
      <c r="K247" s="1">
        <f>Table1[[#This Row],[total score]]/3</f>
        <v>77.333333333333329</v>
      </c>
      <c r="L247" s="6" t="str">
        <f>VLOOKUP(Table1[[#This Row],[average score]],$AE$9:$AF$13,2,TRUE)</f>
        <v>C</v>
      </c>
      <c r="M2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47" s="2" t="str">
        <f>IF(OR(Table1[[#This Row],[math score]]&lt;$AC$5,Table1[[#This Row],[reading score]]&lt;$AC$5,Table1[[#This Row],[writing score]]&lt;$AC$5), "Failed atleast one", "Passed all")</f>
        <v>Passed all</v>
      </c>
      <c r="O247" t="str">
        <f>VLOOKUP(Table1[[#This Row],[average score]],$AE$9:$AG$13,3,TRUE)</f>
        <v>Satisfactory</v>
      </c>
    </row>
    <row r="248" spans="1:15" x14ac:dyDescent="0.2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t="s">
        <v>282</v>
      </c>
      <c r="J248">
        <f>SUM(Table1[[#This Row],[math score]:[writing score]])</f>
        <v>239</v>
      </c>
      <c r="K248" s="1">
        <f>Table1[[#This Row],[total score]]/3</f>
        <v>79.666666666666671</v>
      </c>
      <c r="L248" s="6" t="str">
        <f>VLOOKUP(Table1[[#This Row],[average score]],$AE$9:$AF$13,2,TRUE)</f>
        <v>C</v>
      </c>
      <c r="M2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48" s="2" t="str">
        <f>IF(OR(Table1[[#This Row],[math score]]&lt;$AC$5,Table1[[#This Row],[reading score]]&lt;$AC$5,Table1[[#This Row],[writing score]]&lt;$AC$5), "Failed atleast one", "Passed all")</f>
        <v>Passed all</v>
      </c>
      <c r="O248" t="str">
        <f>VLOOKUP(Table1[[#This Row],[average score]],$AE$9:$AG$13,3,TRUE)</f>
        <v>Satisfactory</v>
      </c>
    </row>
    <row r="249" spans="1:15" x14ac:dyDescent="0.2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t="s">
        <v>283</v>
      </c>
      <c r="J249">
        <f>SUM(Table1[[#This Row],[math score]:[writing score]])</f>
        <v>196</v>
      </c>
      <c r="K249" s="1">
        <f>Table1[[#This Row],[total score]]/3</f>
        <v>65.333333333333329</v>
      </c>
      <c r="L249" s="6" t="str">
        <f>VLOOKUP(Table1[[#This Row],[average score]],$AE$9:$AF$13,2,TRUE)</f>
        <v>D</v>
      </c>
      <c r="M2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49" s="2" t="str">
        <f>IF(OR(Table1[[#This Row],[math score]]&lt;$AC$5,Table1[[#This Row],[reading score]]&lt;$AC$5,Table1[[#This Row],[writing score]]&lt;$AC$5), "Failed atleast one", "Passed all")</f>
        <v>Failed atleast one</v>
      </c>
      <c r="O249" t="str">
        <f>VLOOKUP(Table1[[#This Row],[average score]],$AE$9:$AG$13,3,TRUE)</f>
        <v>Needs improvements</v>
      </c>
    </row>
    <row r="250" spans="1:15" x14ac:dyDescent="0.2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t="s">
        <v>284</v>
      </c>
      <c r="J250">
        <f>SUM(Table1[[#This Row],[math score]:[writing score]])</f>
        <v>191</v>
      </c>
      <c r="K250" s="1">
        <f>Table1[[#This Row],[total score]]/3</f>
        <v>63.666666666666664</v>
      </c>
      <c r="L250" s="6" t="str">
        <f>VLOOKUP(Table1[[#This Row],[average score]],$AE$9:$AF$13,2,TRUE)</f>
        <v>D</v>
      </c>
      <c r="M2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50" s="2" t="str">
        <f>IF(OR(Table1[[#This Row],[math score]]&lt;$AC$5,Table1[[#This Row],[reading score]]&lt;$AC$5,Table1[[#This Row],[writing score]]&lt;$AC$5), "Failed atleast one", "Passed all")</f>
        <v>Passed all</v>
      </c>
      <c r="O250" t="str">
        <f>VLOOKUP(Table1[[#This Row],[average score]],$AE$9:$AG$13,3,TRUE)</f>
        <v>Needs improvements</v>
      </c>
    </row>
    <row r="251" spans="1:15" x14ac:dyDescent="0.2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t="s">
        <v>285</v>
      </c>
      <c r="J251">
        <f>SUM(Table1[[#This Row],[math score]:[writing score]])</f>
        <v>181</v>
      </c>
      <c r="K251" s="1">
        <f>Table1[[#This Row],[total score]]/3</f>
        <v>60.333333333333336</v>
      </c>
      <c r="L251" s="6" t="str">
        <f>VLOOKUP(Table1[[#This Row],[average score]],$AE$9:$AF$13,2,TRUE)</f>
        <v>D</v>
      </c>
      <c r="M2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51" s="2" t="str">
        <f>IF(OR(Table1[[#This Row],[math score]]&lt;$AC$5,Table1[[#This Row],[reading score]]&lt;$AC$5,Table1[[#This Row],[writing score]]&lt;$AC$5), "Failed atleast one", "Passed all")</f>
        <v>Failed atleast one</v>
      </c>
      <c r="O251" t="str">
        <f>VLOOKUP(Table1[[#This Row],[average score]],$AE$9:$AG$13,3,TRUE)</f>
        <v>Needs improvements</v>
      </c>
    </row>
    <row r="252" spans="1:15" x14ac:dyDescent="0.2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t="s">
        <v>286</v>
      </c>
      <c r="J252">
        <f>SUM(Table1[[#This Row],[math score]:[writing score]])</f>
        <v>145</v>
      </c>
      <c r="K252" s="1">
        <f>Table1[[#This Row],[total score]]/3</f>
        <v>48.333333333333336</v>
      </c>
      <c r="L252" s="6" t="str">
        <f>VLOOKUP(Table1[[#This Row],[average score]],$AE$9:$AF$13,2,TRUE)</f>
        <v>F</v>
      </c>
      <c r="M2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52" s="2" t="str">
        <f>IF(OR(Table1[[#This Row],[math score]]&lt;$AC$5,Table1[[#This Row],[reading score]]&lt;$AC$5,Table1[[#This Row],[writing score]]&lt;$AC$5), "Failed atleast one", "Passed all")</f>
        <v>Failed atleast one</v>
      </c>
      <c r="O252" t="str">
        <f>VLOOKUP(Table1[[#This Row],[average score]],$AE$9:$AG$13,3,TRUE)</f>
        <v>Poor</v>
      </c>
    </row>
    <row r="253" spans="1:15" x14ac:dyDescent="0.2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t="s">
        <v>287</v>
      </c>
      <c r="J253">
        <f>SUM(Table1[[#This Row],[math score]:[writing score]])</f>
        <v>237</v>
      </c>
      <c r="K253" s="1">
        <f>Table1[[#This Row],[total score]]/3</f>
        <v>79</v>
      </c>
      <c r="L253" s="6" t="str">
        <f>VLOOKUP(Table1[[#This Row],[average score]],$AE$9:$AF$13,2,TRUE)</f>
        <v>C</v>
      </c>
      <c r="M2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53" s="2" t="str">
        <f>IF(OR(Table1[[#This Row],[math score]]&lt;$AC$5,Table1[[#This Row],[reading score]]&lt;$AC$5,Table1[[#This Row],[writing score]]&lt;$AC$5), "Failed atleast one", "Passed all")</f>
        <v>Passed all</v>
      </c>
      <c r="O253" t="str">
        <f>VLOOKUP(Table1[[#This Row],[average score]],$AE$9:$AG$13,3,TRUE)</f>
        <v>Satisfactory</v>
      </c>
    </row>
    <row r="254" spans="1:15" x14ac:dyDescent="0.2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t="s">
        <v>288</v>
      </c>
      <c r="J254">
        <f>SUM(Table1[[#This Row],[math score]:[writing score]])</f>
        <v>200</v>
      </c>
      <c r="K254" s="1">
        <f>Table1[[#This Row],[total score]]/3</f>
        <v>66.666666666666671</v>
      </c>
      <c r="L254" s="6" t="str">
        <f>VLOOKUP(Table1[[#This Row],[average score]],$AE$9:$AF$13,2,TRUE)</f>
        <v>D</v>
      </c>
      <c r="M2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54" s="2" t="str">
        <f>IF(OR(Table1[[#This Row],[math score]]&lt;$AC$5,Table1[[#This Row],[reading score]]&lt;$AC$5,Table1[[#This Row],[writing score]]&lt;$AC$5), "Failed atleast one", "Passed all")</f>
        <v>Passed all</v>
      </c>
      <c r="O254" t="str">
        <f>VLOOKUP(Table1[[#This Row],[average score]],$AE$9:$AG$13,3,TRUE)</f>
        <v>Needs improvements</v>
      </c>
    </row>
    <row r="255" spans="1:15" x14ac:dyDescent="0.2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t="s">
        <v>289</v>
      </c>
      <c r="J255">
        <f>SUM(Table1[[#This Row],[math score]:[writing score]])</f>
        <v>232</v>
      </c>
      <c r="K255" s="1">
        <f>Table1[[#This Row],[total score]]/3</f>
        <v>77.333333333333329</v>
      </c>
      <c r="L255" s="6" t="str">
        <f>VLOOKUP(Table1[[#This Row],[average score]],$AE$9:$AF$13,2,TRUE)</f>
        <v>C</v>
      </c>
      <c r="M2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55" s="2" t="str">
        <f>IF(OR(Table1[[#This Row],[math score]]&lt;$AC$5,Table1[[#This Row],[reading score]]&lt;$AC$5,Table1[[#This Row],[writing score]]&lt;$AC$5), "Failed atleast one", "Passed all")</f>
        <v>Passed all</v>
      </c>
      <c r="O255" t="str">
        <f>VLOOKUP(Table1[[#This Row],[average score]],$AE$9:$AG$13,3,TRUE)</f>
        <v>Satisfactory</v>
      </c>
    </row>
    <row r="256" spans="1:15" x14ac:dyDescent="0.2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t="s">
        <v>290</v>
      </c>
      <c r="J256">
        <f>SUM(Table1[[#This Row],[math score]:[writing score]])</f>
        <v>158</v>
      </c>
      <c r="K256" s="1">
        <f>Table1[[#This Row],[total score]]/3</f>
        <v>52.666666666666664</v>
      </c>
      <c r="L256" s="6" t="str">
        <f>VLOOKUP(Table1[[#This Row],[average score]],$AE$9:$AF$13,2,TRUE)</f>
        <v>F</v>
      </c>
      <c r="M2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56" s="2" t="str">
        <f>IF(OR(Table1[[#This Row],[math score]]&lt;$AC$5,Table1[[#This Row],[reading score]]&lt;$AC$5,Table1[[#This Row],[writing score]]&lt;$AC$5), "Failed atleast one", "Passed all")</f>
        <v>Failed atleast one</v>
      </c>
      <c r="O256" t="str">
        <f>VLOOKUP(Table1[[#This Row],[average score]],$AE$9:$AG$13,3,TRUE)</f>
        <v>Poor</v>
      </c>
    </row>
    <row r="257" spans="1:15" x14ac:dyDescent="0.2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t="s">
        <v>291</v>
      </c>
      <c r="J257">
        <f>SUM(Table1[[#This Row],[math score]:[writing score]])</f>
        <v>205</v>
      </c>
      <c r="K257" s="1">
        <f>Table1[[#This Row],[total score]]/3</f>
        <v>68.333333333333329</v>
      </c>
      <c r="L257" s="6" t="str">
        <f>VLOOKUP(Table1[[#This Row],[average score]],$AE$9:$AF$13,2,TRUE)</f>
        <v>D</v>
      </c>
      <c r="M2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57" s="2" t="str">
        <f>IF(OR(Table1[[#This Row],[math score]]&lt;$AC$5,Table1[[#This Row],[reading score]]&lt;$AC$5,Table1[[#This Row],[writing score]]&lt;$AC$5), "Failed atleast one", "Passed all")</f>
        <v>Passed all</v>
      </c>
      <c r="O257" t="str">
        <f>VLOOKUP(Table1[[#This Row],[average score]],$AE$9:$AG$13,3,TRUE)</f>
        <v>Needs improvements</v>
      </c>
    </row>
    <row r="258" spans="1:15" x14ac:dyDescent="0.2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t="s">
        <v>292</v>
      </c>
      <c r="J258">
        <f>SUM(Table1[[#This Row],[math score]:[writing score]])</f>
        <v>205</v>
      </c>
      <c r="K258" s="1">
        <f>Table1[[#This Row],[total score]]/3</f>
        <v>68.333333333333329</v>
      </c>
      <c r="L258" s="6" t="str">
        <f>VLOOKUP(Table1[[#This Row],[average score]],$AE$9:$AF$13,2,TRUE)</f>
        <v>D</v>
      </c>
      <c r="M2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58" s="2" t="str">
        <f>IF(OR(Table1[[#This Row],[math score]]&lt;$AC$5,Table1[[#This Row],[reading score]]&lt;$AC$5,Table1[[#This Row],[writing score]]&lt;$AC$5), "Failed atleast one", "Passed all")</f>
        <v>Passed all</v>
      </c>
      <c r="O258" t="str">
        <f>VLOOKUP(Table1[[#This Row],[average score]],$AE$9:$AG$13,3,TRUE)</f>
        <v>Needs improvements</v>
      </c>
    </row>
    <row r="259" spans="1:15" x14ac:dyDescent="0.2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t="s">
        <v>293</v>
      </c>
      <c r="J259">
        <f>SUM(Table1[[#This Row],[math score]:[writing score]])</f>
        <v>232</v>
      </c>
      <c r="K259" s="1">
        <f>Table1[[#This Row],[total score]]/3</f>
        <v>77.333333333333329</v>
      </c>
      <c r="L259" s="6" t="str">
        <f>VLOOKUP(Table1[[#This Row],[average score]],$AE$9:$AF$13,2,TRUE)</f>
        <v>C</v>
      </c>
      <c r="M2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59" s="2" t="str">
        <f>IF(OR(Table1[[#This Row],[math score]]&lt;$AC$5,Table1[[#This Row],[reading score]]&lt;$AC$5,Table1[[#This Row],[writing score]]&lt;$AC$5), "Failed atleast one", "Passed all")</f>
        <v>Passed all</v>
      </c>
      <c r="O259" t="str">
        <f>VLOOKUP(Table1[[#This Row],[average score]],$AE$9:$AG$13,3,TRUE)</f>
        <v>Satisfactory</v>
      </c>
    </row>
    <row r="260" spans="1:15" x14ac:dyDescent="0.2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t="s">
        <v>294</v>
      </c>
      <c r="J260">
        <f>SUM(Table1[[#This Row],[math score]:[writing score]])</f>
        <v>223</v>
      </c>
      <c r="K260" s="1">
        <f>Table1[[#This Row],[total score]]/3</f>
        <v>74.333333333333329</v>
      </c>
      <c r="L260" s="6" t="str">
        <f>VLOOKUP(Table1[[#This Row],[average score]],$AE$9:$AF$13,2,TRUE)</f>
        <v>C</v>
      </c>
      <c r="M2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0" s="2" t="str">
        <f>IF(OR(Table1[[#This Row],[math score]]&lt;$AC$5,Table1[[#This Row],[reading score]]&lt;$AC$5,Table1[[#This Row],[writing score]]&lt;$AC$5), "Failed atleast one", "Passed all")</f>
        <v>Passed all</v>
      </c>
      <c r="O260" t="str">
        <f>VLOOKUP(Table1[[#This Row],[average score]],$AE$9:$AG$13,3,TRUE)</f>
        <v>Satisfactory</v>
      </c>
    </row>
    <row r="261" spans="1:15" x14ac:dyDescent="0.2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t="s">
        <v>295</v>
      </c>
      <c r="J261">
        <f>SUM(Table1[[#This Row],[math score]:[writing score]])</f>
        <v>227</v>
      </c>
      <c r="K261" s="1">
        <f>Table1[[#This Row],[total score]]/3</f>
        <v>75.666666666666671</v>
      </c>
      <c r="L261" s="6" t="str">
        <f>VLOOKUP(Table1[[#This Row],[average score]],$AE$9:$AF$13,2,TRUE)</f>
        <v>C</v>
      </c>
      <c r="M2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1" s="2" t="str">
        <f>IF(OR(Table1[[#This Row],[math score]]&lt;$AC$5,Table1[[#This Row],[reading score]]&lt;$AC$5,Table1[[#This Row],[writing score]]&lt;$AC$5), "Failed atleast one", "Passed all")</f>
        <v>Passed all</v>
      </c>
      <c r="O261" t="str">
        <f>VLOOKUP(Table1[[#This Row],[average score]],$AE$9:$AG$13,3,TRUE)</f>
        <v>Satisfactory</v>
      </c>
    </row>
    <row r="262" spans="1:15" x14ac:dyDescent="0.2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t="s">
        <v>296</v>
      </c>
      <c r="J262">
        <f>SUM(Table1[[#This Row],[math score]:[writing score]])</f>
        <v>220</v>
      </c>
      <c r="K262" s="1">
        <f>Table1[[#This Row],[total score]]/3</f>
        <v>73.333333333333329</v>
      </c>
      <c r="L262" s="6" t="str">
        <f>VLOOKUP(Table1[[#This Row],[average score]],$AE$9:$AF$13,2,TRUE)</f>
        <v>C</v>
      </c>
      <c r="M2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2" s="2" t="str">
        <f>IF(OR(Table1[[#This Row],[math score]]&lt;$AC$5,Table1[[#This Row],[reading score]]&lt;$AC$5,Table1[[#This Row],[writing score]]&lt;$AC$5), "Failed atleast one", "Passed all")</f>
        <v>Passed all</v>
      </c>
      <c r="O262" t="str">
        <f>VLOOKUP(Table1[[#This Row],[average score]],$AE$9:$AG$13,3,TRUE)</f>
        <v>Satisfactory</v>
      </c>
    </row>
    <row r="263" spans="1:15" x14ac:dyDescent="0.2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t="s">
        <v>297</v>
      </c>
      <c r="J263">
        <f>SUM(Table1[[#This Row],[math score]:[writing score]])</f>
        <v>236</v>
      </c>
      <c r="K263" s="1">
        <f>Table1[[#This Row],[total score]]/3</f>
        <v>78.666666666666671</v>
      </c>
      <c r="L263" s="6" t="str">
        <f>VLOOKUP(Table1[[#This Row],[average score]],$AE$9:$AF$13,2,TRUE)</f>
        <v>C</v>
      </c>
      <c r="M2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3" s="2" t="str">
        <f>IF(OR(Table1[[#This Row],[math score]]&lt;$AC$5,Table1[[#This Row],[reading score]]&lt;$AC$5,Table1[[#This Row],[writing score]]&lt;$AC$5), "Failed atleast one", "Passed all")</f>
        <v>Passed all</v>
      </c>
      <c r="O263" t="str">
        <f>VLOOKUP(Table1[[#This Row],[average score]],$AE$9:$AG$13,3,TRUE)</f>
        <v>Satisfactory</v>
      </c>
    </row>
    <row r="264" spans="1:15" x14ac:dyDescent="0.2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t="s">
        <v>298</v>
      </c>
      <c r="J264">
        <f>SUM(Table1[[#This Row],[math score]:[writing score]])</f>
        <v>145</v>
      </c>
      <c r="K264" s="1">
        <f>Table1[[#This Row],[total score]]/3</f>
        <v>48.333333333333336</v>
      </c>
      <c r="L264" s="6" t="str">
        <f>VLOOKUP(Table1[[#This Row],[average score]],$AE$9:$AF$13,2,TRUE)</f>
        <v>F</v>
      </c>
      <c r="M2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64" s="2" t="str">
        <f>IF(OR(Table1[[#This Row],[math score]]&lt;$AC$5,Table1[[#This Row],[reading score]]&lt;$AC$5,Table1[[#This Row],[writing score]]&lt;$AC$5), "Failed atleast one", "Passed all")</f>
        <v>Failed atleast one</v>
      </c>
      <c r="O264" t="str">
        <f>VLOOKUP(Table1[[#This Row],[average score]],$AE$9:$AG$13,3,TRUE)</f>
        <v>Poor</v>
      </c>
    </row>
    <row r="265" spans="1:15" x14ac:dyDescent="0.2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t="s">
        <v>299</v>
      </c>
      <c r="J265">
        <f>SUM(Table1[[#This Row],[math score]:[writing score]])</f>
        <v>282</v>
      </c>
      <c r="K265" s="1">
        <f>Table1[[#This Row],[total score]]/3</f>
        <v>94</v>
      </c>
      <c r="L265" s="6" t="str">
        <f>VLOOKUP(Table1[[#This Row],[average score]],$AE$9:$AF$13,2,TRUE)</f>
        <v>A</v>
      </c>
      <c r="M2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265" s="2" t="str">
        <f>IF(OR(Table1[[#This Row],[math score]]&lt;$AC$5,Table1[[#This Row],[reading score]]&lt;$AC$5,Table1[[#This Row],[writing score]]&lt;$AC$5), "Failed atleast one", "Passed all")</f>
        <v>Passed all</v>
      </c>
      <c r="O265" t="str">
        <f>VLOOKUP(Table1[[#This Row],[average score]],$AE$9:$AG$13,3,TRUE)</f>
        <v>Outstanding</v>
      </c>
    </row>
    <row r="266" spans="1:15" x14ac:dyDescent="0.2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t="s">
        <v>300</v>
      </c>
      <c r="J266">
        <f>SUM(Table1[[#This Row],[math score]:[writing score]])</f>
        <v>217</v>
      </c>
      <c r="K266" s="1">
        <f>Table1[[#This Row],[total score]]/3</f>
        <v>72.333333333333329</v>
      </c>
      <c r="L266" s="6" t="str">
        <f>VLOOKUP(Table1[[#This Row],[average score]],$AE$9:$AF$13,2,TRUE)</f>
        <v>C</v>
      </c>
      <c r="M2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6" s="2" t="str">
        <f>IF(OR(Table1[[#This Row],[math score]]&lt;$AC$5,Table1[[#This Row],[reading score]]&lt;$AC$5,Table1[[#This Row],[writing score]]&lt;$AC$5), "Failed atleast one", "Passed all")</f>
        <v>Passed all</v>
      </c>
      <c r="O266" t="str">
        <f>VLOOKUP(Table1[[#This Row],[average score]],$AE$9:$AG$13,3,TRUE)</f>
        <v>Satisfactory</v>
      </c>
    </row>
    <row r="267" spans="1:15" x14ac:dyDescent="0.2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t="s">
        <v>301</v>
      </c>
      <c r="J267">
        <f>SUM(Table1[[#This Row],[math score]:[writing score]])</f>
        <v>142</v>
      </c>
      <c r="K267" s="1">
        <f>Table1[[#This Row],[total score]]/3</f>
        <v>47.333333333333336</v>
      </c>
      <c r="L267" s="6" t="str">
        <f>VLOOKUP(Table1[[#This Row],[average score]],$AE$9:$AF$13,2,TRUE)</f>
        <v>F</v>
      </c>
      <c r="M2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67" s="2" t="str">
        <f>IF(OR(Table1[[#This Row],[math score]]&lt;$AC$5,Table1[[#This Row],[reading score]]&lt;$AC$5,Table1[[#This Row],[writing score]]&lt;$AC$5), "Failed atleast one", "Passed all")</f>
        <v>Failed atleast one</v>
      </c>
      <c r="O267" t="str">
        <f>VLOOKUP(Table1[[#This Row],[average score]],$AE$9:$AG$13,3,TRUE)</f>
        <v>Poor</v>
      </c>
    </row>
    <row r="268" spans="1:15" x14ac:dyDescent="0.2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t="s">
        <v>302</v>
      </c>
      <c r="J268">
        <f>SUM(Table1[[#This Row],[math score]:[writing score]])</f>
        <v>219</v>
      </c>
      <c r="K268" s="1">
        <f>Table1[[#This Row],[total score]]/3</f>
        <v>73</v>
      </c>
      <c r="L268" s="6" t="str">
        <f>VLOOKUP(Table1[[#This Row],[average score]],$AE$9:$AF$13,2,TRUE)</f>
        <v>C</v>
      </c>
      <c r="M2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8" s="2" t="str">
        <f>IF(OR(Table1[[#This Row],[math score]]&lt;$AC$5,Table1[[#This Row],[reading score]]&lt;$AC$5,Table1[[#This Row],[writing score]]&lt;$AC$5), "Failed atleast one", "Passed all")</f>
        <v>Passed all</v>
      </c>
      <c r="O268" t="str">
        <f>VLOOKUP(Table1[[#This Row],[average score]],$AE$9:$AG$13,3,TRUE)</f>
        <v>Satisfactory</v>
      </c>
    </row>
    <row r="269" spans="1:15" x14ac:dyDescent="0.2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t="s">
        <v>303</v>
      </c>
      <c r="J269">
        <f>SUM(Table1[[#This Row],[math score]:[writing score]])</f>
        <v>218</v>
      </c>
      <c r="K269" s="1">
        <f>Table1[[#This Row],[total score]]/3</f>
        <v>72.666666666666671</v>
      </c>
      <c r="L269" s="6" t="str">
        <f>VLOOKUP(Table1[[#This Row],[average score]],$AE$9:$AF$13,2,TRUE)</f>
        <v>C</v>
      </c>
      <c r="M2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69" s="2" t="str">
        <f>IF(OR(Table1[[#This Row],[math score]]&lt;$AC$5,Table1[[#This Row],[reading score]]&lt;$AC$5,Table1[[#This Row],[writing score]]&lt;$AC$5), "Failed atleast one", "Passed all")</f>
        <v>Passed all</v>
      </c>
      <c r="O269" t="str">
        <f>VLOOKUP(Table1[[#This Row],[average score]],$AE$9:$AG$13,3,TRUE)</f>
        <v>Satisfactory</v>
      </c>
    </row>
    <row r="270" spans="1:15" x14ac:dyDescent="0.2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t="s">
        <v>304</v>
      </c>
      <c r="J270">
        <f>SUM(Table1[[#This Row],[math score]:[writing score]])</f>
        <v>275</v>
      </c>
      <c r="K270" s="1">
        <f>Table1[[#This Row],[total score]]/3</f>
        <v>91.666666666666671</v>
      </c>
      <c r="L270" s="6" t="str">
        <f>VLOOKUP(Table1[[#This Row],[average score]],$AE$9:$AF$13,2,TRUE)</f>
        <v>A</v>
      </c>
      <c r="M2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270" s="2" t="str">
        <f>IF(OR(Table1[[#This Row],[math score]]&lt;$AC$5,Table1[[#This Row],[reading score]]&lt;$AC$5,Table1[[#This Row],[writing score]]&lt;$AC$5), "Failed atleast one", "Passed all")</f>
        <v>Passed all</v>
      </c>
      <c r="O270" t="str">
        <f>VLOOKUP(Table1[[#This Row],[average score]],$AE$9:$AG$13,3,TRUE)</f>
        <v>Outstanding</v>
      </c>
    </row>
    <row r="271" spans="1:15" x14ac:dyDescent="0.2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t="s">
        <v>305</v>
      </c>
      <c r="J271">
        <f>SUM(Table1[[#This Row],[math score]:[writing score]])</f>
        <v>217</v>
      </c>
      <c r="K271" s="1">
        <f>Table1[[#This Row],[total score]]/3</f>
        <v>72.333333333333329</v>
      </c>
      <c r="L271" s="6" t="str">
        <f>VLOOKUP(Table1[[#This Row],[average score]],$AE$9:$AF$13,2,TRUE)</f>
        <v>C</v>
      </c>
      <c r="M2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71" s="2" t="str">
        <f>IF(OR(Table1[[#This Row],[math score]]&lt;$AC$5,Table1[[#This Row],[reading score]]&lt;$AC$5,Table1[[#This Row],[writing score]]&lt;$AC$5), "Failed atleast one", "Passed all")</f>
        <v>Passed all</v>
      </c>
      <c r="O271" t="str">
        <f>VLOOKUP(Table1[[#This Row],[average score]],$AE$9:$AG$13,3,TRUE)</f>
        <v>Satisfactory</v>
      </c>
    </row>
    <row r="272" spans="1:15" x14ac:dyDescent="0.2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t="s">
        <v>306</v>
      </c>
      <c r="J272">
        <f>SUM(Table1[[#This Row],[math score]:[writing score]])</f>
        <v>193</v>
      </c>
      <c r="K272" s="1">
        <f>Table1[[#This Row],[total score]]/3</f>
        <v>64.333333333333329</v>
      </c>
      <c r="L272" s="6" t="str">
        <f>VLOOKUP(Table1[[#This Row],[average score]],$AE$9:$AF$13,2,TRUE)</f>
        <v>D</v>
      </c>
      <c r="M2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72" s="2" t="str">
        <f>IF(OR(Table1[[#This Row],[math score]]&lt;$AC$5,Table1[[#This Row],[reading score]]&lt;$AC$5,Table1[[#This Row],[writing score]]&lt;$AC$5), "Failed atleast one", "Passed all")</f>
        <v>Passed all</v>
      </c>
      <c r="O272" t="str">
        <f>VLOOKUP(Table1[[#This Row],[average score]],$AE$9:$AG$13,3,TRUE)</f>
        <v>Needs improvements</v>
      </c>
    </row>
    <row r="273" spans="1:15" x14ac:dyDescent="0.2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t="s">
        <v>307</v>
      </c>
      <c r="J273">
        <f>SUM(Table1[[#This Row],[math score]:[writing score]])</f>
        <v>149</v>
      </c>
      <c r="K273" s="1">
        <f>Table1[[#This Row],[total score]]/3</f>
        <v>49.666666666666664</v>
      </c>
      <c r="L273" s="6" t="str">
        <f>VLOOKUP(Table1[[#This Row],[average score]],$AE$9:$AF$13,2,TRUE)</f>
        <v>F</v>
      </c>
      <c r="M2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73" s="2" t="str">
        <f>IF(OR(Table1[[#This Row],[math score]]&lt;$AC$5,Table1[[#This Row],[reading score]]&lt;$AC$5,Table1[[#This Row],[writing score]]&lt;$AC$5), "Failed atleast one", "Passed all")</f>
        <v>Failed atleast one</v>
      </c>
      <c r="O273" t="str">
        <f>VLOOKUP(Table1[[#This Row],[average score]],$AE$9:$AG$13,3,TRUE)</f>
        <v>Poor</v>
      </c>
    </row>
    <row r="274" spans="1:15" x14ac:dyDescent="0.2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t="s">
        <v>308</v>
      </c>
      <c r="J274">
        <f>SUM(Table1[[#This Row],[math score]:[writing score]])</f>
        <v>158</v>
      </c>
      <c r="K274" s="1">
        <f>Table1[[#This Row],[total score]]/3</f>
        <v>52.666666666666664</v>
      </c>
      <c r="L274" s="6" t="str">
        <f>VLOOKUP(Table1[[#This Row],[average score]],$AE$9:$AF$13,2,TRUE)</f>
        <v>F</v>
      </c>
      <c r="M2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74" s="2" t="str">
        <f>IF(OR(Table1[[#This Row],[math score]]&lt;$AC$5,Table1[[#This Row],[reading score]]&lt;$AC$5,Table1[[#This Row],[writing score]]&lt;$AC$5), "Failed atleast one", "Passed all")</f>
        <v>Failed atleast one</v>
      </c>
      <c r="O274" t="str">
        <f>VLOOKUP(Table1[[#This Row],[average score]],$AE$9:$AG$13,3,TRUE)</f>
        <v>Poor</v>
      </c>
    </row>
    <row r="275" spans="1:15" x14ac:dyDescent="0.2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t="s">
        <v>309</v>
      </c>
      <c r="J275">
        <f>SUM(Table1[[#This Row],[math score]:[writing score]])</f>
        <v>206</v>
      </c>
      <c r="K275" s="1">
        <f>Table1[[#This Row],[total score]]/3</f>
        <v>68.666666666666671</v>
      </c>
      <c r="L275" s="6" t="str">
        <f>VLOOKUP(Table1[[#This Row],[average score]],$AE$9:$AF$13,2,TRUE)</f>
        <v>D</v>
      </c>
      <c r="M2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75" s="2" t="str">
        <f>IF(OR(Table1[[#This Row],[math score]]&lt;$AC$5,Table1[[#This Row],[reading score]]&lt;$AC$5,Table1[[#This Row],[writing score]]&lt;$AC$5), "Failed atleast one", "Passed all")</f>
        <v>Passed all</v>
      </c>
      <c r="O275" t="str">
        <f>VLOOKUP(Table1[[#This Row],[average score]],$AE$9:$AG$13,3,TRUE)</f>
        <v>Needs improvements</v>
      </c>
    </row>
    <row r="276" spans="1:15" x14ac:dyDescent="0.2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t="s">
        <v>310</v>
      </c>
      <c r="J276">
        <f>SUM(Table1[[#This Row],[math score]:[writing score]])</f>
        <v>249</v>
      </c>
      <c r="K276" s="1">
        <f>Table1[[#This Row],[total score]]/3</f>
        <v>83</v>
      </c>
      <c r="L276" s="6" t="str">
        <f>VLOOKUP(Table1[[#This Row],[average score]],$AE$9:$AF$13,2,TRUE)</f>
        <v>B</v>
      </c>
      <c r="M2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76" s="2" t="str">
        <f>IF(OR(Table1[[#This Row],[math score]]&lt;$AC$5,Table1[[#This Row],[reading score]]&lt;$AC$5,Table1[[#This Row],[writing score]]&lt;$AC$5), "Failed atleast one", "Passed all")</f>
        <v>Passed all</v>
      </c>
      <c r="O276" t="str">
        <f>VLOOKUP(Table1[[#This Row],[average score]],$AE$9:$AG$13,3,TRUE)</f>
        <v xml:space="preserve">Good </v>
      </c>
    </row>
    <row r="277" spans="1:15" x14ac:dyDescent="0.2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t="s">
        <v>311</v>
      </c>
      <c r="J277">
        <f>SUM(Table1[[#This Row],[math score]:[writing score]])</f>
        <v>234</v>
      </c>
      <c r="K277" s="1">
        <f>Table1[[#This Row],[total score]]/3</f>
        <v>78</v>
      </c>
      <c r="L277" s="6" t="str">
        <f>VLOOKUP(Table1[[#This Row],[average score]],$AE$9:$AF$13,2,TRUE)</f>
        <v>C</v>
      </c>
      <c r="M2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77" s="2" t="str">
        <f>IF(OR(Table1[[#This Row],[math score]]&lt;$AC$5,Table1[[#This Row],[reading score]]&lt;$AC$5,Table1[[#This Row],[writing score]]&lt;$AC$5), "Failed atleast one", "Passed all")</f>
        <v>Passed all</v>
      </c>
      <c r="O277" t="str">
        <f>VLOOKUP(Table1[[#This Row],[average score]],$AE$9:$AG$13,3,TRUE)</f>
        <v>Satisfactory</v>
      </c>
    </row>
    <row r="278" spans="1:15" x14ac:dyDescent="0.2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t="s">
        <v>312</v>
      </c>
      <c r="J278">
        <f>SUM(Table1[[#This Row],[math score]:[writing score]])</f>
        <v>270</v>
      </c>
      <c r="K278" s="1">
        <f>Table1[[#This Row],[total score]]/3</f>
        <v>90</v>
      </c>
      <c r="L278" s="6" t="str">
        <f>VLOOKUP(Table1[[#This Row],[average score]],$AE$9:$AF$13,2,TRUE)</f>
        <v>A</v>
      </c>
      <c r="M2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278" s="2" t="str">
        <f>IF(OR(Table1[[#This Row],[math score]]&lt;$AC$5,Table1[[#This Row],[reading score]]&lt;$AC$5,Table1[[#This Row],[writing score]]&lt;$AC$5), "Failed atleast one", "Passed all")</f>
        <v>Passed all</v>
      </c>
      <c r="O278" t="str">
        <f>VLOOKUP(Table1[[#This Row],[average score]],$AE$9:$AG$13,3,TRUE)</f>
        <v>Outstanding</v>
      </c>
    </row>
    <row r="279" spans="1:15" x14ac:dyDescent="0.2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t="s">
        <v>313</v>
      </c>
      <c r="J279">
        <f>SUM(Table1[[#This Row],[math score]:[writing score]])</f>
        <v>197</v>
      </c>
      <c r="K279" s="1">
        <f>Table1[[#This Row],[total score]]/3</f>
        <v>65.666666666666671</v>
      </c>
      <c r="L279" s="6" t="str">
        <f>VLOOKUP(Table1[[#This Row],[average score]],$AE$9:$AF$13,2,TRUE)</f>
        <v>D</v>
      </c>
      <c r="M2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79" s="2" t="str">
        <f>IF(OR(Table1[[#This Row],[math score]]&lt;$AC$5,Table1[[#This Row],[reading score]]&lt;$AC$5,Table1[[#This Row],[writing score]]&lt;$AC$5), "Failed atleast one", "Passed all")</f>
        <v>Failed atleast one</v>
      </c>
      <c r="O279" t="str">
        <f>VLOOKUP(Table1[[#This Row],[average score]],$AE$9:$AG$13,3,TRUE)</f>
        <v>Needs improvements</v>
      </c>
    </row>
    <row r="280" spans="1:15" x14ac:dyDescent="0.2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t="s">
        <v>314</v>
      </c>
      <c r="J280">
        <f>SUM(Table1[[#This Row],[math score]:[writing score]])</f>
        <v>231</v>
      </c>
      <c r="K280" s="1">
        <f>Table1[[#This Row],[total score]]/3</f>
        <v>77</v>
      </c>
      <c r="L280" s="6" t="str">
        <f>VLOOKUP(Table1[[#This Row],[average score]],$AE$9:$AF$13,2,TRUE)</f>
        <v>C</v>
      </c>
      <c r="M2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80" s="2" t="str">
        <f>IF(OR(Table1[[#This Row],[math score]]&lt;$AC$5,Table1[[#This Row],[reading score]]&lt;$AC$5,Table1[[#This Row],[writing score]]&lt;$AC$5), "Failed atleast one", "Passed all")</f>
        <v>Passed all</v>
      </c>
      <c r="O280" t="str">
        <f>VLOOKUP(Table1[[#This Row],[average score]],$AE$9:$AG$13,3,TRUE)</f>
        <v>Satisfactory</v>
      </c>
    </row>
    <row r="281" spans="1:15" x14ac:dyDescent="0.2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t="s">
        <v>315</v>
      </c>
      <c r="J281">
        <f>SUM(Table1[[#This Row],[math score]:[writing score]])</f>
        <v>186</v>
      </c>
      <c r="K281" s="1">
        <f>Table1[[#This Row],[total score]]/3</f>
        <v>62</v>
      </c>
      <c r="L281" s="6" t="str">
        <f>VLOOKUP(Table1[[#This Row],[average score]],$AE$9:$AF$13,2,TRUE)</f>
        <v>D</v>
      </c>
      <c r="M2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81" s="2" t="str">
        <f>IF(OR(Table1[[#This Row],[math score]]&lt;$AC$5,Table1[[#This Row],[reading score]]&lt;$AC$5,Table1[[#This Row],[writing score]]&lt;$AC$5), "Failed atleast one", "Passed all")</f>
        <v>Failed atleast one</v>
      </c>
      <c r="O281" t="str">
        <f>VLOOKUP(Table1[[#This Row],[average score]],$AE$9:$AG$13,3,TRUE)</f>
        <v>Needs improvements</v>
      </c>
    </row>
    <row r="282" spans="1:15" x14ac:dyDescent="0.2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t="s">
        <v>316</v>
      </c>
      <c r="J282">
        <f>SUM(Table1[[#This Row],[math score]:[writing score]])</f>
        <v>147</v>
      </c>
      <c r="K282" s="1">
        <f>Table1[[#This Row],[total score]]/3</f>
        <v>49</v>
      </c>
      <c r="L282" s="6" t="str">
        <f>VLOOKUP(Table1[[#This Row],[average score]],$AE$9:$AF$13,2,TRUE)</f>
        <v>F</v>
      </c>
      <c r="M2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82" s="2" t="str">
        <f>IF(OR(Table1[[#This Row],[math score]]&lt;$AC$5,Table1[[#This Row],[reading score]]&lt;$AC$5,Table1[[#This Row],[writing score]]&lt;$AC$5), "Failed atleast one", "Passed all")</f>
        <v>Failed atleast one</v>
      </c>
      <c r="O282" t="str">
        <f>VLOOKUP(Table1[[#This Row],[average score]],$AE$9:$AG$13,3,TRUE)</f>
        <v>Poor</v>
      </c>
    </row>
    <row r="283" spans="1:15" x14ac:dyDescent="0.2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t="s">
        <v>317</v>
      </c>
      <c r="J283">
        <f>SUM(Table1[[#This Row],[math score]:[writing score]])</f>
        <v>139</v>
      </c>
      <c r="K283" s="1">
        <f>Table1[[#This Row],[total score]]/3</f>
        <v>46.333333333333336</v>
      </c>
      <c r="L283" s="6" t="str">
        <f>VLOOKUP(Table1[[#This Row],[average score]],$AE$9:$AF$13,2,TRUE)</f>
        <v>F</v>
      </c>
      <c r="M2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83" s="2" t="str">
        <f>IF(OR(Table1[[#This Row],[math score]]&lt;$AC$5,Table1[[#This Row],[reading score]]&lt;$AC$5,Table1[[#This Row],[writing score]]&lt;$AC$5), "Failed atleast one", "Passed all")</f>
        <v>Failed atleast one</v>
      </c>
      <c r="O283" t="str">
        <f>VLOOKUP(Table1[[#This Row],[average score]],$AE$9:$AG$13,3,TRUE)</f>
        <v>Poor</v>
      </c>
    </row>
    <row r="284" spans="1:15" x14ac:dyDescent="0.2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t="s">
        <v>318</v>
      </c>
      <c r="J284">
        <f>SUM(Table1[[#This Row],[math score]:[writing score]])</f>
        <v>236</v>
      </c>
      <c r="K284" s="1">
        <f>Table1[[#This Row],[total score]]/3</f>
        <v>78.666666666666671</v>
      </c>
      <c r="L284" s="6" t="str">
        <f>VLOOKUP(Table1[[#This Row],[average score]],$AE$9:$AF$13,2,TRUE)</f>
        <v>C</v>
      </c>
      <c r="M2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84" s="2" t="str">
        <f>IF(OR(Table1[[#This Row],[math score]]&lt;$AC$5,Table1[[#This Row],[reading score]]&lt;$AC$5,Table1[[#This Row],[writing score]]&lt;$AC$5), "Failed atleast one", "Passed all")</f>
        <v>Passed all</v>
      </c>
      <c r="O284" t="str">
        <f>VLOOKUP(Table1[[#This Row],[average score]],$AE$9:$AG$13,3,TRUE)</f>
        <v>Satisfactory</v>
      </c>
    </row>
    <row r="285" spans="1:15" x14ac:dyDescent="0.2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t="s">
        <v>319</v>
      </c>
      <c r="J285">
        <f>SUM(Table1[[#This Row],[math score]:[writing score]])</f>
        <v>226</v>
      </c>
      <c r="K285" s="1">
        <f>Table1[[#This Row],[total score]]/3</f>
        <v>75.333333333333329</v>
      </c>
      <c r="L285" s="6" t="str">
        <f>VLOOKUP(Table1[[#This Row],[average score]],$AE$9:$AF$13,2,TRUE)</f>
        <v>C</v>
      </c>
      <c r="M2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85" s="2" t="str">
        <f>IF(OR(Table1[[#This Row],[math score]]&lt;$AC$5,Table1[[#This Row],[reading score]]&lt;$AC$5,Table1[[#This Row],[writing score]]&lt;$AC$5), "Failed atleast one", "Passed all")</f>
        <v>Passed all</v>
      </c>
      <c r="O285" t="str">
        <f>VLOOKUP(Table1[[#This Row],[average score]],$AE$9:$AG$13,3,TRUE)</f>
        <v>Satisfactory</v>
      </c>
    </row>
    <row r="286" spans="1:15" x14ac:dyDescent="0.2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t="s">
        <v>320</v>
      </c>
      <c r="J286">
        <f>SUM(Table1[[#This Row],[math score]:[writing score]])</f>
        <v>129</v>
      </c>
      <c r="K286" s="1">
        <f>Table1[[#This Row],[total score]]/3</f>
        <v>43</v>
      </c>
      <c r="L286" s="6" t="str">
        <f>VLOOKUP(Table1[[#This Row],[average score]],$AE$9:$AF$13,2,TRUE)</f>
        <v>F</v>
      </c>
      <c r="M2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86" s="2" t="str">
        <f>IF(OR(Table1[[#This Row],[math score]]&lt;$AC$5,Table1[[#This Row],[reading score]]&lt;$AC$5,Table1[[#This Row],[writing score]]&lt;$AC$5), "Failed atleast one", "Passed all")</f>
        <v>Failed atleast one</v>
      </c>
      <c r="O286" t="str">
        <f>VLOOKUP(Table1[[#This Row],[average score]],$AE$9:$AG$13,3,TRUE)</f>
        <v>Poor</v>
      </c>
    </row>
    <row r="287" spans="1:15" x14ac:dyDescent="0.2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t="s">
        <v>321</v>
      </c>
      <c r="J287">
        <f>SUM(Table1[[#This Row],[math score]:[writing score]])</f>
        <v>245</v>
      </c>
      <c r="K287" s="1">
        <f>Table1[[#This Row],[total score]]/3</f>
        <v>81.666666666666671</v>
      </c>
      <c r="L287" s="6" t="str">
        <f>VLOOKUP(Table1[[#This Row],[average score]],$AE$9:$AF$13,2,TRUE)</f>
        <v>B</v>
      </c>
      <c r="M2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87" s="2" t="str">
        <f>IF(OR(Table1[[#This Row],[math score]]&lt;$AC$5,Table1[[#This Row],[reading score]]&lt;$AC$5,Table1[[#This Row],[writing score]]&lt;$AC$5), "Failed atleast one", "Passed all")</f>
        <v>Passed all</v>
      </c>
      <c r="O287" t="str">
        <f>VLOOKUP(Table1[[#This Row],[average score]],$AE$9:$AG$13,3,TRUE)</f>
        <v xml:space="preserve">Good </v>
      </c>
    </row>
    <row r="288" spans="1:15" x14ac:dyDescent="0.2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t="s">
        <v>322</v>
      </c>
      <c r="J288">
        <f>SUM(Table1[[#This Row],[math score]:[writing score]])</f>
        <v>267</v>
      </c>
      <c r="K288" s="1">
        <f>Table1[[#This Row],[total score]]/3</f>
        <v>89</v>
      </c>
      <c r="L288" s="6" t="str">
        <f>VLOOKUP(Table1[[#This Row],[average score]],$AE$9:$AF$13,2,TRUE)</f>
        <v>B</v>
      </c>
      <c r="M2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288" s="2" t="str">
        <f>IF(OR(Table1[[#This Row],[math score]]&lt;$AC$5,Table1[[#This Row],[reading score]]&lt;$AC$5,Table1[[#This Row],[writing score]]&lt;$AC$5), "Failed atleast one", "Passed all")</f>
        <v>Passed all</v>
      </c>
      <c r="O288" t="str">
        <f>VLOOKUP(Table1[[#This Row],[average score]],$AE$9:$AG$13,3,TRUE)</f>
        <v xml:space="preserve">Good </v>
      </c>
    </row>
    <row r="289" spans="1:15" x14ac:dyDescent="0.2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t="s">
        <v>323</v>
      </c>
      <c r="J289">
        <f>SUM(Table1[[#This Row],[math score]:[writing score]])</f>
        <v>238</v>
      </c>
      <c r="K289" s="1">
        <f>Table1[[#This Row],[total score]]/3</f>
        <v>79.333333333333329</v>
      </c>
      <c r="L289" s="6" t="str">
        <f>VLOOKUP(Table1[[#This Row],[average score]],$AE$9:$AF$13,2,TRUE)</f>
        <v>C</v>
      </c>
      <c r="M2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89" s="2" t="str">
        <f>IF(OR(Table1[[#This Row],[math score]]&lt;$AC$5,Table1[[#This Row],[reading score]]&lt;$AC$5,Table1[[#This Row],[writing score]]&lt;$AC$5), "Failed atleast one", "Passed all")</f>
        <v>Passed all</v>
      </c>
      <c r="O289" t="str">
        <f>VLOOKUP(Table1[[#This Row],[average score]],$AE$9:$AG$13,3,TRUE)</f>
        <v>Satisfactory</v>
      </c>
    </row>
    <row r="290" spans="1:15" x14ac:dyDescent="0.2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t="s">
        <v>324</v>
      </c>
      <c r="J290">
        <f>SUM(Table1[[#This Row],[math score]:[writing score]])</f>
        <v>239</v>
      </c>
      <c r="K290" s="1">
        <f>Table1[[#This Row],[total score]]/3</f>
        <v>79.666666666666671</v>
      </c>
      <c r="L290" s="6" t="str">
        <f>VLOOKUP(Table1[[#This Row],[average score]],$AE$9:$AF$13,2,TRUE)</f>
        <v>C</v>
      </c>
      <c r="M2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0" s="2" t="str">
        <f>IF(OR(Table1[[#This Row],[math score]]&lt;$AC$5,Table1[[#This Row],[reading score]]&lt;$AC$5,Table1[[#This Row],[writing score]]&lt;$AC$5), "Failed atleast one", "Passed all")</f>
        <v>Passed all</v>
      </c>
      <c r="O290" t="str">
        <f>VLOOKUP(Table1[[#This Row],[average score]],$AE$9:$AG$13,3,TRUE)</f>
        <v>Satisfactory</v>
      </c>
    </row>
    <row r="291" spans="1:15" x14ac:dyDescent="0.2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t="s">
        <v>325</v>
      </c>
      <c r="J291">
        <f>SUM(Table1[[#This Row],[math score]:[writing score]])</f>
        <v>230</v>
      </c>
      <c r="K291" s="1">
        <f>Table1[[#This Row],[total score]]/3</f>
        <v>76.666666666666671</v>
      </c>
      <c r="L291" s="6" t="str">
        <f>VLOOKUP(Table1[[#This Row],[average score]],$AE$9:$AF$13,2,TRUE)</f>
        <v>C</v>
      </c>
      <c r="M2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1" s="2" t="str">
        <f>IF(OR(Table1[[#This Row],[math score]]&lt;$AC$5,Table1[[#This Row],[reading score]]&lt;$AC$5,Table1[[#This Row],[writing score]]&lt;$AC$5), "Failed atleast one", "Passed all")</f>
        <v>Passed all</v>
      </c>
      <c r="O291" t="str">
        <f>VLOOKUP(Table1[[#This Row],[average score]],$AE$9:$AG$13,3,TRUE)</f>
        <v>Satisfactory</v>
      </c>
    </row>
    <row r="292" spans="1:15" x14ac:dyDescent="0.2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t="s">
        <v>326</v>
      </c>
      <c r="J292">
        <f>SUM(Table1[[#This Row],[math score]:[writing score]])</f>
        <v>214</v>
      </c>
      <c r="K292" s="1">
        <f>Table1[[#This Row],[total score]]/3</f>
        <v>71.333333333333329</v>
      </c>
      <c r="L292" s="6" t="str">
        <f>VLOOKUP(Table1[[#This Row],[average score]],$AE$9:$AF$13,2,TRUE)</f>
        <v>C</v>
      </c>
      <c r="M2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2" s="2" t="str">
        <f>IF(OR(Table1[[#This Row],[math score]]&lt;$AC$5,Table1[[#This Row],[reading score]]&lt;$AC$5,Table1[[#This Row],[writing score]]&lt;$AC$5), "Failed atleast one", "Passed all")</f>
        <v>Passed all</v>
      </c>
      <c r="O292" t="str">
        <f>VLOOKUP(Table1[[#This Row],[average score]],$AE$9:$AG$13,3,TRUE)</f>
        <v>Satisfactory</v>
      </c>
    </row>
    <row r="293" spans="1:15" x14ac:dyDescent="0.2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t="s">
        <v>327</v>
      </c>
      <c r="J293">
        <f>SUM(Table1[[#This Row],[math score]:[writing score]])</f>
        <v>229</v>
      </c>
      <c r="K293" s="1">
        <f>Table1[[#This Row],[total score]]/3</f>
        <v>76.333333333333329</v>
      </c>
      <c r="L293" s="6" t="str">
        <f>VLOOKUP(Table1[[#This Row],[average score]],$AE$9:$AF$13,2,TRUE)</f>
        <v>C</v>
      </c>
      <c r="M2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3" s="2" t="str">
        <f>IF(OR(Table1[[#This Row],[math score]]&lt;$AC$5,Table1[[#This Row],[reading score]]&lt;$AC$5,Table1[[#This Row],[writing score]]&lt;$AC$5), "Failed atleast one", "Passed all")</f>
        <v>Passed all</v>
      </c>
      <c r="O293" t="str">
        <f>VLOOKUP(Table1[[#This Row],[average score]],$AE$9:$AG$13,3,TRUE)</f>
        <v>Satisfactory</v>
      </c>
    </row>
    <row r="294" spans="1:15" x14ac:dyDescent="0.2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t="s">
        <v>328</v>
      </c>
      <c r="J294">
        <f>SUM(Table1[[#This Row],[math score]:[writing score]])</f>
        <v>180</v>
      </c>
      <c r="K294" s="1">
        <f>Table1[[#This Row],[total score]]/3</f>
        <v>60</v>
      </c>
      <c r="L294" s="6" t="str">
        <f>VLOOKUP(Table1[[#This Row],[average score]],$AE$9:$AF$13,2,TRUE)</f>
        <v>D</v>
      </c>
      <c r="M2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94" s="2" t="str">
        <f>IF(OR(Table1[[#This Row],[math score]]&lt;$AC$5,Table1[[#This Row],[reading score]]&lt;$AC$5,Table1[[#This Row],[writing score]]&lt;$AC$5), "Failed atleast one", "Passed all")</f>
        <v>Failed atleast one</v>
      </c>
      <c r="O294" t="str">
        <f>VLOOKUP(Table1[[#This Row],[average score]],$AE$9:$AG$13,3,TRUE)</f>
        <v>Needs improvements</v>
      </c>
    </row>
    <row r="295" spans="1:15" x14ac:dyDescent="0.2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t="s">
        <v>329</v>
      </c>
      <c r="J295">
        <f>SUM(Table1[[#This Row],[math score]:[writing score]])</f>
        <v>213</v>
      </c>
      <c r="K295" s="1">
        <f>Table1[[#This Row],[total score]]/3</f>
        <v>71</v>
      </c>
      <c r="L295" s="6" t="str">
        <f>VLOOKUP(Table1[[#This Row],[average score]],$AE$9:$AF$13,2,TRUE)</f>
        <v>C</v>
      </c>
      <c r="M2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5" s="2" t="str">
        <f>IF(OR(Table1[[#This Row],[math score]]&lt;$AC$5,Table1[[#This Row],[reading score]]&lt;$AC$5,Table1[[#This Row],[writing score]]&lt;$AC$5), "Failed atleast one", "Passed all")</f>
        <v>Passed all</v>
      </c>
      <c r="O295" t="str">
        <f>VLOOKUP(Table1[[#This Row],[average score]],$AE$9:$AG$13,3,TRUE)</f>
        <v>Satisfactory</v>
      </c>
    </row>
    <row r="296" spans="1:15" x14ac:dyDescent="0.2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t="s">
        <v>330</v>
      </c>
      <c r="J296">
        <f>SUM(Table1[[#This Row],[math score]:[writing score]])</f>
        <v>235</v>
      </c>
      <c r="K296" s="1">
        <f>Table1[[#This Row],[total score]]/3</f>
        <v>78.333333333333329</v>
      </c>
      <c r="L296" s="6" t="str">
        <f>VLOOKUP(Table1[[#This Row],[average score]],$AE$9:$AF$13,2,TRUE)</f>
        <v>C</v>
      </c>
      <c r="M2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6" s="2" t="str">
        <f>IF(OR(Table1[[#This Row],[math score]]&lt;$AC$5,Table1[[#This Row],[reading score]]&lt;$AC$5,Table1[[#This Row],[writing score]]&lt;$AC$5), "Failed atleast one", "Passed all")</f>
        <v>Passed all</v>
      </c>
      <c r="O296" t="str">
        <f>VLOOKUP(Table1[[#This Row],[average score]],$AE$9:$AG$13,3,TRUE)</f>
        <v>Satisfactory</v>
      </c>
    </row>
    <row r="297" spans="1:15" x14ac:dyDescent="0.2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t="s">
        <v>331</v>
      </c>
      <c r="J297">
        <f>SUM(Table1[[#This Row],[math score]:[writing score]])</f>
        <v>189</v>
      </c>
      <c r="K297" s="1">
        <f>Table1[[#This Row],[total score]]/3</f>
        <v>63</v>
      </c>
      <c r="L297" s="6" t="str">
        <f>VLOOKUP(Table1[[#This Row],[average score]],$AE$9:$AF$13,2,TRUE)</f>
        <v>D</v>
      </c>
      <c r="M2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297" s="2" t="str">
        <f>IF(OR(Table1[[#This Row],[math score]]&lt;$AC$5,Table1[[#This Row],[reading score]]&lt;$AC$5,Table1[[#This Row],[writing score]]&lt;$AC$5), "Failed atleast one", "Passed all")</f>
        <v>Passed all</v>
      </c>
      <c r="O297" t="str">
        <f>VLOOKUP(Table1[[#This Row],[average score]],$AE$9:$AG$13,3,TRUE)</f>
        <v>Needs improvements</v>
      </c>
    </row>
    <row r="298" spans="1:15" x14ac:dyDescent="0.2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t="s">
        <v>332</v>
      </c>
      <c r="J298">
        <f>SUM(Table1[[#This Row],[math score]:[writing score]])</f>
        <v>130</v>
      </c>
      <c r="K298" s="1">
        <f>Table1[[#This Row],[total score]]/3</f>
        <v>43.333333333333336</v>
      </c>
      <c r="L298" s="6" t="str">
        <f>VLOOKUP(Table1[[#This Row],[average score]],$AE$9:$AF$13,2,TRUE)</f>
        <v>F</v>
      </c>
      <c r="M2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298" s="2" t="str">
        <f>IF(OR(Table1[[#This Row],[math score]]&lt;$AC$5,Table1[[#This Row],[reading score]]&lt;$AC$5,Table1[[#This Row],[writing score]]&lt;$AC$5), "Failed atleast one", "Passed all")</f>
        <v>Failed atleast one</v>
      </c>
      <c r="O298" t="str">
        <f>VLOOKUP(Table1[[#This Row],[average score]],$AE$9:$AG$13,3,TRUE)</f>
        <v>Poor</v>
      </c>
    </row>
    <row r="299" spans="1:15" x14ac:dyDescent="0.2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t="s">
        <v>333</v>
      </c>
      <c r="J299">
        <f>SUM(Table1[[#This Row],[math score]:[writing score]])</f>
        <v>213</v>
      </c>
      <c r="K299" s="1">
        <f>Table1[[#This Row],[total score]]/3</f>
        <v>71</v>
      </c>
      <c r="L299" s="6" t="str">
        <f>VLOOKUP(Table1[[#This Row],[average score]],$AE$9:$AF$13,2,TRUE)</f>
        <v>C</v>
      </c>
      <c r="M2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299" s="2" t="str">
        <f>IF(OR(Table1[[#This Row],[math score]]&lt;$AC$5,Table1[[#This Row],[reading score]]&lt;$AC$5,Table1[[#This Row],[writing score]]&lt;$AC$5), "Failed atleast one", "Passed all")</f>
        <v>Passed all</v>
      </c>
      <c r="O299" t="str">
        <f>VLOOKUP(Table1[[#This Row],[average score]],$AE$9:$AG$13,3,TRUE)</f>
        <v>Satisfactory</v>
      </c>
    </row>
    <row r="300" spans="1:15" x14ac:dyDescent="0.2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t="s">
        <v>334</v>
      </c>
      <c r="J300">
        <f>SUM(Table1[[#This Row],[math score]:[writing score]])</f>
        <v>136</v>
      </c>
      <c r="K300" s="1">
        <f>Table1[[#This Row],[total score]]/3</f>
        <v>45.333333333333336</v>
      </c>
      <c r="L300" s="6" t="str">
        <f>VLOOKUP(Table1[[#This Row],[average score]],$AE$9:$AF$13,2,TRUE)</f>
        <v>F</v>
      </c>
      <c r="M3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00" s="2" t="str">
        <f>IF(OR(Table1[[#This Row],[math score]]&lt;$AC$5,Table1[[#This Row],[reading score]]&lt;$AC$5,Table1[[#This Row],[writing score]]&lt;$AC$5), "Failed atleast one", "Passed all")</f>
        <v>Failed atleast one</v>
      </c>
      <c r="O300" t="str">
        <f>VLOOKUP(Table1[[#This Row],[average score]],$AE$9:$AG$13,3,TRUE)</f>
        <v>Poor</v>
      </c>
    </row>
    <row r="301" spans="1:15" x14ac:dyDescent="0.2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t="s">
        <v>335</v>
      </c>
      <c r="J301">
        <f>SUM(Table1[[#This Row],[math score]:[writing score]])</f>
        <v>252</v>
      </c>
      <c r="K301" s="1">
        <f>Table1[[#This Row],[total score]]/3</f>
        <v>84</v>
      </c>
      <c r="L301" s="6" t="str">
        <f>VLOOKUP(Table1[[#This Row],[average score]],$AE$9:$AF$13,2,TRUE)</f>
        <v>B</v>
      </c>
      <c r="M3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01" s="2" t="str">
        <f>IF(OR(Table1[[#This Row],[math score]]&lt;$AC$5,Table1[[#This Row],[reading score]]&lt;$AC$5,Table1[[#This Row],[writing score]]&lt;$AC$5), "Failed atleast one", "Passed all")</f>
        <v>Passed all</v>
      </c>
      <c r="O301" t="str">
        <f>VLOOKUP(Table1[[#This Row],[average score]],$AE$9:$AG$13,3,TRUE)</f>
        <v xml:space="preserve">Good </v>
      </c>
    </row>
    <row r="302" spans="1:15" x14ac:dyDescent="0.2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t="s">
        <v>336</v>
      </c>
      <c r="J302">
        <f>SUM(Table1[[#This Row],[math score]:[writing score]])</f>
        <v>240</v>
      </c>
      <c r="K302" s="1">
        <f>Table1[[#This Row],[total score]]/3</f>
        <v>80</v>
      </c>
      <c r="L302" s="6" t="str">
        <f>VLOOKUP(Table1[[#This Row],[average score]],$AE$9:$AF$13,2,TRUE)</f>
        <v>B</v>
      </c>
      <c r="M3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02" s="2" t="str">
        <f>IF(OR(Table1[[#This Row],[math score]]&lt;$AC$5,Table1[[#This Row],[reading score]]&lt;$AC$5,Table1[[#This Row],[writing score]]&lt;$AC$5), "Failed atleast one", "Passed all")</f>
        <v>Passed all</v>
      </c>
      <c r="O302" t="str">
        <f>VLOOKUP(Table1[[#This Row],[average score]],$AE$9:$AG$13,3,TRUE)</f>
        <v xml:space="preserve">Good </v>
      </c>
    </row>
    <row r="303" spans="1:15" x14ac:dyDescent="0.2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t="s">
        <v>337</v>
      </c>
      <c r="J303">
        <f>SUM(Table1[[#This Row],[math score]:[writing score]])</f>
        <v>162</v>
      </c>
      <c r="K303" s="1">
        <f>Table1[[#This Row],[total score]]/3</f>
        <v>54</v>
      </c>
      <c r="L303" s="6" t="str">
        <f>VLOOKUP(Table1[[#This Row],[average score]],$AE$9:$AF$13,2,TRUE)</f>
        <v>F</v>
      </c>
      <c r="M3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03" s="2" t="str">
        <f>IF(OR(Table1[[#This Row],[math score]]&lt;$AC$5,Table1[[#This Row],[reading score]]&lt;$AC$5,Table1[[#This Row],[writing score]]&lt;$AC$5), "Failed atleast one", "Passed all")</f>
        <v>Failed atleast one</v>
      </c>
      <c r="O303" t="str">
        <f>VLOOKUP(Table1[[#This Row],[average score]],$AE$9:$AG$13,3,TRUE)</f>
        <v>Poor</v>
      </c>
    </row>
    <row r="304" spans="1:15" x14ac:dyDescent="0.2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t="s">
        <v>338</v>
      </c>
      <c r="J304">
        <f>SUM(Table1[[#This Row],[math score]:[writing score]])</f>
        <v>232</v>
      </c>
      <c r="K304" s="1">
        <f>Table1[[#This Row],[total score]]/3</f>
        <v>77.333333333333329</v>
      </c>
      <c r="L304" s="6" t="str">
        <f>VLOOKUP(Table1[[#This Row],[average score]],$AE$9:$AF$13,2,TRUE)</f>
        <v>C</v>
      </c>
      <c r="M3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04" s="2" t="str">
        <f>IF(OR(Table1[[#This Row],[math score]]&lt;$AC$5,Table1[[#This Row],[reading score]]&lt;$AC$5,Table1[[#This Row],[writing score]]&lt;$AC$5), "Failed atleast one", "Passed all")</f>
        <v>Passed all</v>
      </c>
      <c r="O304" t="str">
        <f>VLOOKUP(Table1[[#This Row],[average score]],$AE$9:$AG$13,3,TRUE)</f>
        <v>Satisfactory</v>
      </c>
    </row>
    <row r="305" spans="1:15" x14ac:dyDescent="0.2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t="s">
        <v>339</v>
      </c>
      <c r="J305">
        <f>SUM(Table1[[#This Row],[math score]:[writing score]])</f>
        <v>220</v>
      </c>
      <c r="K305" s="1">
        <f>Table1[[#This Row],[total score]]/3</f>
        <v>73.333333333333329</v>
      </c>
      <c r="L305" s="6" t="str">
        <f>VLOOKUP(Table1[[#This Row],[average score]],$AE$9:$AF$13,2,TRUE)</f>
        <v>C</v>
      </c>
      <c r="M3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05" s="2" t="str">
        <f>IF(OR(Table1[[#This Row],[math score]]&lt;$AC$5,Table1[[#This Row],[reading score]]&lt;$AC$5,Table1[[#This Row],[writing score]]&lt;$AC$5), "Failed atleast one", "Passed all")</f>
        <v>Passed all</v>
      </c>
      <c r="O305" t="str">
        <f>VLOOKUP(Table1[[#This Row],[average score]],$AE$9:$AG$13,3,TRUE)</f>
        <v>Satisfactory</v>
      </c>
    </row>
    <row r="306" spans="1:15" x14ac:dyDescent="0.2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t="s">
        <v>340</v>
      </c>
      <c r="J306">
        <f>SUM(Table1[[#This Row],[math score]:[writing score]])</f>
        <v>232</v>
      </c>
      <c r="K306" s="1">
        <f>Table1[[#This Row],[total score]]/3</f>
        <v>77.333333333333329</v>
      </c>
      <c r="L306" s="6" t="str">
        <f>VLOOKUP(Table1[[#This Row],[average score]],$AE$9:$AF$13,2,TRUE)</f>
        <v>C</v>
      </c>
      <c r="M3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06" s="2" t="str">
        <f>IF(OR(Table1[[#This Row],[math score]]&lt;$AC$5,Table1[[#This Row],[reading score]]&lt;$AC$5,Table1[[#This Row],[writing score]]&lt;$AC$5), "Failed atleast one", "Passed all")</f>
        <v>Passed all</v>
      </c>
      <c r="O306" t="str">
        <f>VLOOKUP(Table1[[#This Row],[average score]],$AE$9:$AG$13,3,TRUE)</f>
        <v>Satisfactory</v>
      </c>
    </row>
    <row r="307" spans="1:15" x14ac:dyDescent="0.2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t="s">
        <v>341</v>
      </c>
      <c r="J307">
        <f>SUM(Table1[[#This Row],[math score]:[writing score]])</f>
        <v>205</v>
      </c>
      <c r="K307" s="1">
        <f>Table1[[#This Row],[total score]]/3</f>
        <v>68.333333333333329</v>
      </c>
      <c r="L307" s="6" t="str">
        <f>VLOOKUP(Table1[[#This Row],[average score]],$AE$9:$AF$13,2,TRUE)</f>
        <v>D</v>
      </c>
      <c r="M3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07" s="2" t="str">
        <f>IF(OR(Table1[[#This Row],[math score]]&lt;$AC$5,Table1[[#This Row],[reading score]]&lt;$AC$5,Table1[[#This Row],[writing score]]&lt;$AC$5), "Failed atleast one", "Passed all")</f>
        <v>Passed all</v>
      </c>
      <c r="O307" t="str">
        <f>VLOOKUP(Table1[[#This Row],[average score]],$AE$9:$AG$13,3,TRUE)</f>
        <v>Needs improvements</v>
      </c>
    </row>
    <row r="308" spans="1:15" x14ac:dyDescent="0.2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t="s">
        <v>342</v>
      </c>
      <c r="J308">
        <f>SUM(Table1[[#This Row],[math score]:[writing score]])</f>
        <v>267</v>
      </c>
      <c r="K308" s="1">
        <f>Table1[[#This Row],[total score]]/3</f>
        <v>89</v>
      </c>
      <c r="L308" s="6" t="str">
        <f>VLOOKUP(Table1[[#This Row],[average score]],$AE$9:$AF$13,2,TRUE)</f>
        <v>B</v>
      </c>
      <c r="M3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08" s="2" t="str">
        <f>IF(OR(Table1[[#This Row],[math score]]&lt;$AC$5,Table1[[#This Row],[reading score]]&lt;$AC$5,Table1[[#This Row],[writing score]]&lt;$AC$5), "Failed atleast one", "Passed all")</f>
        <v>Passed all</v>
      </c>
      <c r="O308" t="str">
        <f>VLOOKUP(Table1[[#This Row],[average score]],$AE$9:$AG$13,3,TRUE)</f>
        <v xml:space="preserve">Good </v>
      </c>
    </row>
    <row r="309" spans="1:15" x14ac:dyDescent="0.2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t="s">
        <v>343</v>
      </c>
      <c r="J309">
        <f>SUM(Table1[[#This Row],[math score]:[writing score]])</f>
        <v>147</v>
      </c>
      <c r="K309" s="1">
        <f>Table1[[#This Row],[total score]]/3</f>
        <v>49</v>
      </c>
      <c r="L309" s="6" t="str">
        <f>VLOOKUP(Table1[[#This Row],[average score]],$AE$9:$AF$13,2,TRUE)</f>
        <v>F</v>
      </c>
      <c r="M3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09" s="2" t="str">
        <f>IF(OR(Table1[[#This Row],[math score]]&lt;$AC$5,Table1[[#This Row],[reading score]]&lt;$AC$5,Table1[[#This Row],[writing score]]&lt;$AC$5), "Failed atleast one", "Passed all")</f>
        <v>Failed atleast one</v>
      </c>
      <c r="O309" t="str">
        <f>VLOOKUP(Table1[[#This Row],[average score]],$AE$9:$AG$13,3,TRUE)</f>
        <v>Poor</v>
      </c>
    </row>
    <row r="310" spans="1:15" x14ac:dyDescent="0.2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t="s">
        <v>344</v>
      </c>
      <c r="J310">
        <f>SUM(Table1[[#This Row],[math score]:[writing score]])</f>
        <v>191</v>
      </c>
      <c r="K310" s="1">
        <f>Table1[[#This Row],[total score]]/3</f>
        <v>63.666666666666664</v>
      </c>
      <c r="L310" s="6" t="str">
        <f>VLOOKUP(Table1[[#This Row],[average score]],$AE$9:$AF$13,2,TRUE)</f>
        <v>D</v>
      </c>
      <c r="M3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0" s="2" t="str">
        <f>IF(OR(Table1[[#This Row],[math score]]&lt;$AC$5,Table1[[#This Row],[reading score]]&lt;$AC$5,Table1[[#This Row],[writing score]]&lt;$AC$5), "Failed atleast one", "Passed all")</f>
        <v>Failed atleast one</v>
      </c>
      <c r="O310" t="str">
        <f>VLOOKUP(Table1[[#This Row],[average score]],$AE$9:$AG$13,3,TRUE)</f>
        <v>Needs improvements</v>
      </c>
    </row>
    <row r="311" spans="1:15" x14ac:dyDescent="0.2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t="s">
        <v>345</v>
      </c>
      <c r="J311">
        <f>SUM(Table1[[#This Row],[math score]:[writing score]])</f>
        <v>158</v>
      </c>
      <c r="K311" s="1">
        <f>Table1[[#This Row],[total score]]/3</f>
        <v>52.666666666666664</v>
      </c>
      <c r="L311" s="6" t="str">
        <f>VLOOKUP(Table1[[#This Row],[average score]],$AE$9:$AF$13,2,TRUE)</f>
        <v>F</v>
      </c>
      <c r="M3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11" s="2" t="str">
        <f>IF(OR(Table1[[#This Row],[math score]]&lt;$AC$5,Table1[[#This Row],[reading score]]&lt;$AC$5,Table1[[#This Row],[writing score]]&lt;$AC$5), "Failed atleast one", "Passed all")</f>
        <v>Failed atleast one</v>
      </c>
      <c r="O311" t="str">
        <f>VLOOKUP(Table1[[#This Row],[average score]],$AE$9:$AG$13,3,TRUE)</f>
        <v>Poor</v>
      </c>
    </row>
    <row r="312" spans="1:15" x14ac:dyDescent="0.2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t="s">
        <v>346</v>
      </c>
      <c r="J312">
        <f>SUM(Table1[[#This Row],[math score]:[writing score]])</f>
        <v>229</v>
      </c>
      <c r="K312" s="1">
        <f>Table1[[#This Row],[total score]]/3</f>
        <v>76.333333333333329</v>
      </c>
      <c r="L312" s="6" t="str">
        <f>VLOOKUP(Table1[[#This Row],[average score]],$AE$9:$AF$13,2,TRUE)</f>
        <v>C</v>
      </c>
      <c r="M3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12" s="2" t="str">
        <f>IF(OR(Table1[[#This Row],[math score]]&lt;$AC$5,Table1[[#This Row],[reading score]]&lt;$AC$5,Table1[[#This Row],[writing score]]&lt;$AC$5), "Failed atleast one", "Passed all")</f>
        <v>Passed all</v>
      </c>
      <c r="O312" t="str">
        <f>VLOOKUP(Table1[[#This Row],[average score]],$AE$9:$AG$13,3,TRUE)</f>
        <v>Satisfactory</v>
      </c>
    </row>
    <row r="313" spans="1:15" x14ac:dyDescent="0.2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t="s">
        <v>347</v>
      </c>
      <c r="J313">
        <f>SUM(Table1[[#This Row],[math score]:[writing score]])</f>
        <v>183</v>
      </c>
      <c r="K313" s="1">
        <f>Table1[[#This Row],[total score]]/3</f>
        <v>61</v>
      </c>
      <c r="L313" s="6" t="str">
        <f>VLOOKUP(Table1[[#This Row],[average score]],$AE$9:$AF$13,2,TRUE)</f>
        <v>D</v>
      </c>
      <c r="M3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3" s="2" t="str">
        <f>IF(OR(Table1[[#This Row],[math score]]&lt;$AC$5,Table1[[#This Row],[reading score]]&lt;$AC$5,Table1[[#This Row],[writing score]]&lt;$AC$5), "Failed atleast one", "Passed all")</f>
        <v>Failed atleast one</v>
      </c>
      <c r="O313" t="str">
        <f>VLOOKUP(Table1[[#This Row],[average score]],$AE$9:$AG$13,3,TRUE)</f>
        <v>Needs improvements</v>
      </c>
    </row>
    <row r="314" spans="1:15" x14ac:dyDescent="0.2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t="s">
        <v>348</v>
      </c>
      <c r="J314">
        <f>SUM(Table1[[#This Row],[math score]:[writing score]])</f>
        <v>196</v>
      </c>
      <c r="K314" s="1">
        <f>Table1[[#This Row],[total score]]/3</f>
        <v>65.333333333333329</v>
      </c>
      <c r="L314" s="6" t="str">
        <f>VLOOKUP(Table1[[#This Row],[average score]],$AE$9:$AF$13,2,TRUE)</f>
        <v>D</v>
      </c>
      <c r="M3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4" s="2" t="str">
        <f>IF(OR(Table1[[#This Row],[math score]]&lt;$AC$5,Table1[[#This Row],[reading score]]&lt;$AC$5,Table1[[#This Row],[writing score]]&lt;$AC$5), "Failed atleast one", "Passed all")</f>
        <v>Passed all</v>
      </c>
      <c r="O314" t="str">
        <f>VLOOKUP(Table1[[#This Row],[average score]],$AE$9:$AG$13,3,TRUE)</f>
        <v>Needs improvements</v>
      </c>
    </row>
    <row r="315" spans="1:15" x14ac:dyDescent="0.2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t="s">
        <v>349</v>
      </c>
      <c r="J315">
        <f>SUM(Table1[[#This Row],[math score]:[writing score]])</f>
        <v>204</v>
      </c>
      <c r="K315" s="1">
        <f>Table1[[#This Row],[total score]]/3</f>
        <v>68</v>
      </c>
      <c r="L315" s="6" t="str">
        <f>VLOOKUP(Table1[[#This Row],[average score]],$AE$9:$AF$13,2,TRUE)</f>
        <v>D</v>
      </c>
      <c r="M3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5" s="2" t="str">
        <f>IF(OR(Table1[[#This Row],[math score]]&lt;$AC$5,Table1[[#This Row],[reading score]]&lt;$AC$5,Table1[[#This Row],[writing score]]&lt;$AC$5), "Failed atleast one", "Passed all")</f>
        <v>Passed all</v>
      </c>
      <c r="O315" t="str">
        <f>VLOOKUP(Table1[[#This Row],[average score]],$AE$9:$AG$13,3,TRUE)</f>
        <v>Needs improvements</v>
      </c>
    </row>
    <row r="316" spans="1:15" x14ac:dyDescent="0.2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t="s">
        <v>350</v>
      </c>
      <c r="J316">
        <f>SUM(Table1[[#This Row],[math score]:[writing score]])</f>
        <v>198</v>
      </c>
      <c r="K316" s="1">
        <f>Table1[[#This Row],[total score]]/3</f>
        <v>66</v>
      </c>
      <c r="L316" s="6" t="str">
        <f>VLOOKUP(Table1[[#This Row],[average score]],$AE$9:$AF$13,2,TRUE)</f>
        <v>D</v>
      </c>
      <c r="M3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6" s="2" t="str">
        <f>IF(OR(Table1[[#This Row],[math score]]&lt;$AC$5,Table1[[#This Row],[reading score]]&lt;$AC$5,Table1[[#This Row],[writing score]]&lt;$AC$5), "Failed atleast one", "Passed all")</f>
        <v>Failed atleast one</v>
      </c>
      <c r="O316" t="str">
        <f>VLOOKUP(Table1[[#This Row],[average score]],$AE$9:$AG$13,3,TRUE)</f>
        <v>Needs improvements</v>
      </c>
    </row>
    <row r="317" spans="1:15" x14ac:dyDescent="0.2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t="s">
        <v>351</v>
      </c>
      <c r="J317">
        <f>SUM(Table1[[#This Row],[math score]:[writing score]])</f>
        <v>202</v>
      </c>
      <c r="K317" s="1">
        <f>Table1[[#This Row],[total score]]/3</f>
        <v>67.333333333333329</v>
      </c>
      <c r="L317" s="6" t="str">
        <f>VLOOKUP(Table1[[#This Row],[average score]],$AE$9:$AF$13,2,TRUE)</f>
        <v>D</v>
      </c>
      <c r="M3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17" s="2" t="str">
        <f>IF(OR(Table1[[#This Row],[math score]]&lt;$AC$5,Table1[[#This Row],[reading score]]&lt;$AC$5,Table1[[#This Row],[writing score]]&lt;$AC$5), "Failed atleast one", "Passed all")</f>
        <v>Passed all</v>
      </c>
      <c r="O317" t="str">
        <f>VLOOKUP(Table1[[#This Row],[average score]],$AE$9:$AG$13,3,TRUE)</f>
        <v>Needs improvements</v>
      </c>
    </row>
    <row r="318" spans="1:15" x14ac:dyDescent="0.2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t="s">
        <v>352</v>
      </c>
      <c r="J318">
        <f>SUM(Table1[[#This Row],[math score]:[writing score]])</f>
        <v>250</v>
      </c>
      <c r="K318" s="1">
        <f>Table1[[#This Row],[total score]]/3</f>
        <v>83.333333333333329</v>
      </c>
      <c r="L318" s="6" t="str">
        <f>VLOOKUP(Table1[[#This Row],[average score]],$AE$9:$AF$13,2,TRUE)</f>
        <v>B</v>
      </c>
      <c r="M3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18" s="2" t="str">
        <f>IF(OR(Table1[[#This Row],[math score]]&lt;$AC$5,Table1[[#This Row],[reading score]]&lt;$AC$5,Table1[[#This Row],[writing score]]&lt;$AC$5), "Failed atleast one", "Passed all")</f>
        <v>Passed all</v>
      </c>
      <c r="O318" t="str">
        <f>VLOOKUP(Table1[[#This Row],[average score]],$AE$9:$AG$13,3,TRUE)</f>
        <v xml:space="preserve">Good </v>
      </c>
    </row>
    <row r="319" spans="1:15" x14ac:dyDescent="0.2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t="s">
        <v>353</v>
      </c>
      <c r="J319">
        <f>SUM(Table1[[#This Row],[math score]:[writing score]])</f>
        <v>233</v>
      </c>
      <c r="K319" s="1">
        <f>Table1[[#This Row],[total score]]/3</f>
        <v>77.666666666666671</v>
      </c>
      <c r="L319" s="6" t="str">
        <f>VLOOKUP(Table1[[#This Row],[average score]],$AE$9:$AF$13,2,TRUE)</f>
        <v>C</v>
      </c>
      <c r="M3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19" s="2" t="str">
        <f>IF(OR(Table1[[#This Row],[math score]]&lt;$AC$5,Table1[[#This Row],[reading score]]&lt;$AC$5,Table1[[#This Row],[writing score]]&lt;$AC$5), "Failed atleast one", "Passed all")</f>
        <v>Passed all</v>
      </c>
      <c r="O319" t="str">
        <f>VLOOKUP(Table1[[#This Row],[average score]],$AE$9:$AG$13,3,TRUE)</f>
        <v>Satisfactory</v>
      </c>
    </row>
    <row r="320" spans="1:15" x14ac:dyDescent="0.2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t="s">
        <v>354</v>
      </c>
      <c r="J320">
        <f>SUM(Table1[[#This Row],[math score]:[writing score]])</f>
        <v>203</v>
      </c>
      <c r="K320" s="1">
        <f>Table1[[#This Row],[total score]]/3</f>
        <v>67.666666666666671</v>
      </c>
      <c r="L320" s="6" t="str">
        <f>VLOOKUP(Table1[[#This Row],[average score]],$AE$9:$AF$13,2,TRUE)</f>
        <v>D</v>
      </c>
      <c r="M3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20" s="2" t="str">
        <f>IF(OR(Table1[[#This Row],[math score]]&lt;$AC$5,Table1[[#This Row],[reading score]]&lt;$AC$5,Table1[[#This Row],[writing score]]&lt;$AC$5), "Failed atleast one", "Passed all")</f>
        <v>Passed all</v>
      </c>
      <c r="O320" t="str">
        <f>VLOOKUP(Table1[[#This Row],[average score]],$AE$9:$AG$13,3,TRUE)</f>
        <v>Needs improvements</v>
      </c>
    </row>
    <row r="321" spans="1:15" x14ac:dyDescent="0.2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t="s">
        <v>355</v>
      </c>
      <c r="J321">
        <f>SUM(Table1[[#This Row],[math score]:[writing score]])</f>
        <v>184</v>
      </c>
      <c r="K321" s="1">
        <f>Table1[[#This Row],[total score]]/3</f>
        <v>61.333333333333336</v>
      </c>
      <c r="L321" s="6" t="str">
        <f>VLOOKUP(Table1[[#This Row],[average score]],$AE$9:$AF$13,2,TRUE)</f>
        <v>D</v>
      </c>
      <c r="M3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21" s="2" t="str">
        <f>IF(OR(Table1[[#This Row],[math score]]&lt;$AC$5,Table1[[#This Row],[reading score]]&lt;$AC$5,Table1[[#This Row],[writing score]]&lt;$AC$5), "Failed atleast one", "Passed all")</f>
        <v>Failed atleast one</v>
      </c>
      <c r="O321" t="str">
        <f>VLOOKUP(Table1[[#This Row],[average score]],$AE$9:$AG$13,3,TRUE)</f>
        <v>Needs improvements</v>
      </c>
    </row>
    <row r="322" spans="1:15" x14ac:dyDescent="0.2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t="s">
        <v>356</v>
      </c>
      <c r="J322">
        <f>SUM(Table1[[#This Row],[math score]:[writing score]])</f>
        <v>230</v>
      </c>
      <c r="K322" s="1">
        <f>Table1[[#This Row],[total score]]/3</f>
        <v>76.666666666666671</v>
      </c>
      <c r="L322" s="6" t="str">
        <f>VLOOKUP(Table1[[#This Row],[average score]],$AE$9:$AF$13,2,TRUE)</f>
        <v>C</v>
      </c>
      <c r="M3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22" s="2" t="str">
        <f>IF(OR(Table1[[#This Row],[math score]]&lt;$AC$5,Table1[[#This Row],[reading score]]&lt;$AC$5,Table1[[#This Row],[writing score]]&lt;$AC$5), "Failed atleast one", "Passed all")</f>
        <v>Passed all</v>
      </c>
      <c r="O322" t="str">
        <f>VLOOKUP(Table1[[#This Row],[average score]],$AE$9:$AG$13,3,TRUE)</f>
        <v>Satisfactory</v>
      </c>
    </row>
    <row r="323" spans="1:15" x14ac:dyDescent="0.2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t="s">
        <v>357</v>
      </c>
      <c r="J323">
        <f>SUM(Table1[[#This Row],[math score]:[writing score]])</f>
        <v>240</v>
      </c>
      <c r="K323" s="1">
        <f>Table1[[#This Row],[total score]]/3</f>
        <v>80</v>
      </c>
      <c r="L323" s="6" t="str">
        <f>VLOOKUP(Table1[[#This Row],[average score]],$AE$9:$AF$13,2,TRUE)</f>
        <v>B</v>
      </c>
      <c r="M3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23" s="2" t="str">
        <f>IF(OR(Table1[[#This Row],[math score]]&lt;$AC$5,Table1[[#This Row],[reading score]]&lt;$AC$5,Table1[[#This Row],[writing score]]&lt;$AC$5), "Failed atleast one", "Passed all")</f>
        <v>Passed all</v>
      </c>
      <c r="O323" t="str">
        <f>VLOOKUP(Table1[[#This Row],[average score]],$AE$9:$AG$13,3,TRUE)</f>
        <v xml:space="preserve">Good </v>
      </c>
    </row>
    <row r="324" spans="1:15" x14ac:dyDescent="0.2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t="s">
        <v>358</v>
      </c>
      <c r="J324">
        <f>SUM(Table1[[#This Row],[math score]:[writing score]])</f>
        <v>232</v>
      </c>
      <c r="K324" s="1">
        <f>Table1[[#This Row],[total score]]/3</f>
        <v>77.333333333333329</v>
      </c>
      <c r="L324" s="6" t="str">
        <f>VLOOKUP(Table1[[#This Row],[average score]],$AE$9:$AF$13,2,TRUE)</f>
        <v>C</v>
      </c>
      <c r="M3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24" s="2" t="str">
        <f>IF(OR(Table1[[#This Row],[math score]]&lt;$AC$5,Table1[[#This Row],[reading score]]&lt;$AC$5,Table1[[#This Row],[writing score]]&lt;$AC$5), "Failed atleast one", "Passed all")</f>
        <v>Passed all</v>
      </c>
      <c r="O324" t="str">
        <f>VLOOKUP(Table1[[#This Row],[average score]],$AE$9:$AG$13,3,TRUE)</f>
        <v>Satisfactory</v>
      </c>
    </row>
    <row r="325" spans="1:15" x14ac:dyDescent="0.2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t="s">
        <v>359</v>
      </c>
      <c r="J325">
        <f>SUM(Table1[[#This Row],[math score]:[writing score]])</f>
        <v>149</v>
      </c>
      <c r="K325" s="1">
        <f>Table1[[#This Row],[total score]]/3</f>
        <v>49.666666666666664</v>
      </c>
      <c r="L325" s="6" t="str">
        <f>VLOOKUP(Table1[[#This Row],[average score]],$AE$9:$AF$13,2,TRUE)</f>
        <v>F</v>
      </c>
      <c r="M3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25" s="2" t="str">
        <f>IF(OR(Table1[[#This Row],[math score]]&lt;$AC$5,Table1[[#This Row],[reading score]]&lt;$AC$5,Table1[[#This Row],[writing score]]&lt;$AC$5), "Failed atleast one", "Passed all")</f>
        <v>Failed atleast one</v>
      </c>
      <c r="O325" t="str">
        <f>VLOOKUP(Table1[[#This Row],[average score]],$AE$9:$AG$13,3,TRUE)</f>
        <v>Poor</v>
      </c>
    </row>
    <row r="326" spans="1:15" x14ac:dyDescent="0.2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t="s">
        <v>360</v>
      </c>
      <c r="J326">
        <f>SUM(Table1[[#This Row],[math score]:[writing score]])</f>
        <v>130</v>
      </c>
      <c r="K326" s="1">
        <f>Table1[[#This Row],[total score]]/3</f>
        <v>43.333333333333336</v>
      </c>
      <c r="L326" s="6" t="str">
        <f>VLOOKUP(Table1[[#This Row],[average score]],$AE$9:$AF$13,2,TRUE)</f>
        <v>F</v>
      </c>
      <c r="M3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26" s="2" t="str">
        <f>IF(OR(Table1[[#This Row],[math score]]&lt;$AC$5,Table1[[#This Row],[reading score]]&lt;$AC$5,Table1[[#This Row],[writing score]]&lt;$AC$5), "Failed atleast one", "Passed all")</f>
        <v>Failed atleast one</v>
      </c>
      <c r="O326" t="str">
        <f>VLOOKUP(Table1[[#This Row],[average score]],$AE$9:$AG$13,3,TRUE)</f>
        <v>Poor</v>
      </c>
    </row>
    <row r="327" spans="1:15" x14ac:dyDescent="0.2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t="s">
        <v>361</v>
      </c>
      <c r="J327">
        <f>SUM(Table1[[#This Row],[math score]:[writing score]])</f>
        <v>266</v>
      </c>
      <c r="K327" s="1">
        <f>Table1[[#This Row],[total score]]/3</f>
        <v>88.666666666666671</v>
      </c>
      <c r="L327" s="6" t="str">
        <f>VLOOKUP(Table1[[#This Row],[average score]],$AE$9:$AF$13,2,TRUE)</f>
        <v>B</v>
      </c>
      <c r="M3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27" s="2" t="str">
        <f>IF(OR(Table1[[#This Row],[math score]]&lt;$AC$5,Table1[[#This Row],[reading score]]&lt;$AC$5,Table1[[#This Row],[writing score]]&lt;$AC$5), "Failed atleast one", "Passed all")</f>
        <v>Passed all</v>
      </c>
      <c r="O327" t="str">
        <f>VLOOKUP(Table1[[#This Row],[average score]],$AE$9:$AG$13,3,TRUE)</f>
        <v xml:space="preserve">Good </v>
      </c>
    </row>
    <row r="328" spans="1:15" x14ac:dyDescent="0.2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t="s">
        <v>362</v>
      </c>
      <c r="J328">
        <f>SUM(Table1[[#This Row],[math score]:[writing score]])</f>
        <v>184</v>
      </c>
      <c r="K328" s="1">
        <f>Table1[[#This Row],[total score]]/3</f>
        <v>61.333333333333336</v>
      </c>
      <c r="L328" s="6" t="str">
        <f>VLOOKUP(Table1[[#This Row],[average score]],$AE$9:$AF$13,2,TRUE)</f>
        <v>D</v>
      </c>
      <c r="M3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28" s="2" t="str">
        <f>IF(OR(Table1[[#This Row],[math score]]&lt;$AC$5,Table1[[#This Row],[reading score]]&lt;$AC$5,Table1[[#This Row],[writing score]]&lt;$AC$5), "Failed atleast one", "Passed all")</f>
        <v>Passed all</v>
      </c>
      <c r="O328" t="str">
        <f>VLOOKUP(Table1[[#This Row],[average score]],$AE$9:$AG$13,3,TRUE)</f>
        <v>Needs improvements</v>
      </c>
    </row>
    <row r="329" spans="1:15" x14ac:dyDescent="0.2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t="s">
        <v>363</v>
      </c>
      <c r="J329">
        <f>SUM(Table1[[#This Row],[math score]:[writing score]])</f>
        <v>70</v>
      </c>
      <c r="K329" s="1">
        <f>Table1[[#This Row],[total score]]/3</f>
        <v>23.333333333333332</v>
      </c>
      <c r="L329" s="6" t="str">
        <f>VLOOKUP(Table1[[#This Row],[average score]],$AE$9:$AF$13,2,TRUE)</f>
        <v>F</v>
      </c>
      <c r="M3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29" s="2" t="str">
        <f>IF(OR(Table1[[#This Row],[math score]]&lt;$AC$5,Table1[[#This Row],[reading score]]&lt;$AC$5,Table1[[#This Row],[writing score]]&lt;$AC$5), "Failed atleast one", "Passed all")</f>
        <v>Failed atleast one</v>
      </c>
      <c r="O329" t="str">
        <f>VLOOKUP(Table1[[#This Row],[average score]],$AE$9:$AG$13,3,TRUE)</f>
        <v>Poor</v>
      </c>
    </row>
    <row r="330" spans="1:15" x14ac:dyDescent="0.2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t="s">
        <v>364</v>
      </c>
      <c r="J330">
        <f>SUM(Table1[[#This Row],[math score]:[writing score]])</f>
        <v>234</v>
      </c>
      <c r="K330" s="1">
        <f>Table1[[#This Row],[total score]]/3</f>
        <v>78</v>
      </c>
      <c r="L330" s="6" t="str">
        <f>VLOOKUP(Table1[[#This Row],[average score]],$AE$9:$AF$13,2,TRUE)</f>
        <v>C</v>
      </c>
      <c r="M3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30" s="2" t="str">
        <f>IF(OR(Table1[[#This Row],[math score]]&lt;$AC$5,Table1[[#This Row],[reading score]]&lt;$AC$5,Table1[[#This Row],[writing score]]&lt;$AC$5), "Failed atleast one", "Passed all")</f>
        <v>Passed all</v>
      </c>
      <c r="O330" t="str">
        <f>VLOOKUP(Table1[[#This Row],[average score]],$AE$9:$AG$13,3,TRUE)</f>
        <v>Satisfactory</v>
      </c>
    </row>
    <row r="331" spans="1:15" x14ac:dyDescent="0.2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t="s">
        <v>365</v>
      </c>
      <c r="J331">
        <f>SUM(Table1[[#This Row],[math score]:[writing score]])</f>
        <v>147</v>
      </c>
      <c r="K331" s="1">
        <f>Table1[[#This Row],[total score]]/3</f>
        <v>49</v>
      </c>
      <c r="L331" s="6" t="str">
        <f>VLOOKUP(Table1[[#This Row],[average score]],$AE$9:$AF$13,2,TRUE)</f>
        <v>F</v>
      </c>
      <c r="M3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31" s="2" t="str">
        <f>IF(OR(Table1[[#This Row],[math score]]&lt;$AC$5,Table1[[#This Row],[reading score]]&lt;$AC$5,Table1[[#This Row],[writing score]]&lt;$AC$5), "Failed atleast one", "Passed all")</f>
        <v>Failed atleast one</v>
      </c>
      <c r="O331" t="str">
        <f>VLOOKUP(Table1[[#This Row],[average score]],$AE$9:$AG$13,3,TRUE)</f>
        <v>Poor</v>
      </c>
    </row>
    <row r="332" spans="1:15" x14ac:dyDescent="0.2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t="s">
        <v>366</v>
      </c>
      <c r="J332">
        <f>SUM(Table1[[#This Row],[math score]:[writing score]])</f>
        <v>192</v>
      </c>
      <c r="K332" s="1">
        <f>Table1[[#This Row],[total score]]/3</f>
        <v>64</v>
      </c>
      <c r="L332" s="6" t="str">
        <f>VLOOKUP(Table1[[#This Row],[average score]],$AE$9:$AF$13,2,TRUE)</f>
        <v>D</v>
      </c>
      <c r="M3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32" s="2" t="str">
        <f>IF(OR(Table1[[#This Row],[math score]]&lt;$AC$5,Table1[[#This Row],[reading score]]&lt;$AC$5,Table1[[#This Row],[writing score]]&lt;$AC$5), "Failed atleast one", "Passed all")</f>
        <v>Passed all</v>
      </c>
      <c r="O332" t="str">
        <f>VLOOKUP(Table1[[#This Row],[average score]],$AE$9:$AG$13,3,TRUE)</f>
        <v>Needs improvements</v>
      </c>
    </row>
    <row r="333" spans="1:15" x14ac:dyDescent="0.2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t="s">
        <v>367</v>
      </c>
      <c r="J333">
        <f>SUM(Table1[[#This Row],[math score]:[writing score]])</f>
        <v>119</v>
      </c>
      <c r="K333" s="1">
        <f>Table1[[#This Row],[total score]]/3</f>
        <v>39.666666666666664</v>
      </c>
      <c r="L333" s="6" t="str">
        <f>VLOOKUP(Table1[[#This Row],[average score]],$AE$9:$AF$13,2,TRUE)</f>
        <v>F</v>
      </c>
      <c r="M3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33" s="2" t="str">
        <f>IF(OR(Table1[[#This Row],[math score]]&lt;$AC$5,Table1[[#This Row],[reading score]]&lt;$AC$5,Table1[[#This Row],[writing score]]&lt;$AC$5), "Failed atleast one", "Passed all")</f>
        <v>Failed atleast one</v>
      </c>
      <c r="O333" t="str">
        <f>VLOOKUP(Table1[[#This Row],[average score]],$AE$9:$AG$13,3,TRUE)</f>
        <v>Poor</v>
      </c>
    </row>
    <row r="334" spans="1:15" x14ac:dyDescent="0.2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t="s">
        <v>368</v>
      </c>
      <c r="J334">
        <f>SUM(Table1[[#This Row],[math score]:[writing score]])</f>
        <v>171</v>
      </c>
      <c r="K334" s="1">
        <f>Table1[[#This Row],[total score]]/3</f>
        <v>57</v>
      </c>
      <c r="L334" s="6" t="str">
        <f>VLOOKUP(Table1[[#This Row],[average score]],$AE$9:$AF$13,2,TRUE)</f>
        <v>F</v>
      </c>
      <c r="M3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34" s="2" t="str">
        <f>IF(OR(Table1[[#This Row],[math score]]&lt;$AC$5,Table1[[#This Row],[reading score]]&lt;$AC$5,Table1[[#This Row],[writing score]]&lt;$AC$5), "Failed atleast one", "Passed all")</f>
        <v>Failed atleast one</v>
      </c>
      <c r="O334" t="str">
        <f>VLOOKUP(Table1[[#This Row],[average score]],$AE$9:$AG$13,3,TRUE)</f>
        <v>Poor</v>
      </c>
    </row>
    <row r="335" spans="1:15" x14ac:dyDescent="0.2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t="s">
        <v>369</v>
      </c>
      <c r="J335">
        <f>SUM(Table1[[#This Row],[math score]:[writing score]])</f>
        <v>249</v>
      </c>
      <c r="K335" s="1">
        <f>Table1[[#This Row],[total score]]/3</f>
        <v>83</v>
      </c>
      <c r="L335" s="6" t="str">
        <f>VLOOKUP(Table1[[#This Row],[average score]],$AE$9:$AF$13,2,TRUE)</f>
        <v>B</v>
      </c>
      <c r="M3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35" s="2" t="str">
        <f>IF(OR(Table1[[#This Row],[math score]]&lt;$AC$5,Table1[[#This Row],[reading score]]&lt;$AC$5,Table1[[#This Row],[writing score]]&lt;$AC$5), "Failed atleast one", "Passed all")</f>
        <v>Passed all</v>
      </c>
      <c r="O335" t="str">
        <f>VLOOKUP(Table1[[#This Row],[average score]],$AE$9:$AG$13,3,TRUE)</f>
        <v xml:space="preserve">Good </v>
      </c>
    </row>
    <row r="336" spans="1:15" x14ac:dyDescent="0.2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t="s">
        <v>370</v>
      </c>
      <c r="J336">
        <f>SUM(Table1[[#This Row],[math score]:[writing score]])</f>
        <v>271</v>
      </c>
      <c r="K336" s="1">
        <f>Table1[[#This Row],[total score]]/3</f>
        <v>90.333333333333329</v>
      </c>
      <c r="L336" s="6" t="str">
        <f>VLOOKUP(Table1[[#This Row],[average score]],$AE$9:$AF$13,2,TRUE)</f>
        <v>A</v>
      </c>
      <c r="M3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336" s="2" t="str">
        <f>IF(OR(Table1[[#This Row],[math score]]&lt;$AC$5,Table1[[#This Row],[reading score]]&lt;$AC$5,Table1[[#This Row],[writing score]]&lt;$AC$5), "Failed atleast one", "Passed all")</f>
        <v>Passed all</v>
      </c>
      <c r="O336" t="str">
        <f>VLOOKUP(Table1[[#This Row],[average score]],$AE$9:$AG$13,3,TRUE)</f>
        <v>Outstanding</v>
      </c>
    </row>
    <row r="337" spans="1:15" x14ac:dyDescent="0.2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t="s">
        <v>371</v>
      </c>
      <c r="J337">
        <f>SUM(Table1[[#This Row],[math score]:[writing score]])</f>
        <v>195</v>
      </c>
      <c r="K337" s="1">
        <f>Table1[[#This Row],[total score]]/3</f>
        <v>65</v>
      </c>
      <c r="L337" s="6" t="str">
        <f>VLOOKUP(Table1[[#This Row],[average score]],$AE$9:$AF$13,2,TRUE)</f>
        <v>D</v>
      </c>
      <c r="M3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37" s="2" t="str">
        <f>IF(OR(Table1[[#This Row],[math score]]&lt;$AC$5,Table1[[#This Row],[reading score]]&lt;$AC$5,Table1[[#This Row],[writing score]]&lt;$AC$5), "Failed atleast one", "Passed all")</f>
        <v>Passed all</v>
      </c>
      <c r="O337" t="str">
        <f>VLOOKUP(Table1[[#This Row],[average score]],$AE$9:$AG$13,3,TRUE)</f>
        <v>Needs improvements</v>
      </c>
    </row>
    <row r="338" spans="1:15" x14ac:dyDescent="0.2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t="s">
        <v>372</v>
      </c>
      <c r="J338">
        <f>SUM(Table1[[#This Row],[math score]:[writing score]])</f>
        <v>215</v>
      </c>
      <c r="K338" s="1">
        <f>Table1[[#This Row],[total score]]/3</f>
        <v>71.666666666666671</v>
      </c>
      <c r="L338" s="6" t="str">
        <f>VLOOKUP(Table1[[#This Row],[average score]],$AE$9:$AF$13,2,TRUE)</f>
        <v>C</v>
      </c>
      <c r="M3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38" s="2" t="str">
        <f>IF(OR(Table1[[#This Row],[math score]]&lt;$AC$5,Table1[[#This Row],[reading score]]&lt;$AC$5,Table1[[#This Row],[writing score]]&lt;$AC$5), "Failed atleast one", "Passed all")</f>
        <v>Passed all</v>
      </c>
      <c r="O338" t="str">
        <f>VLOOKUP(Table1[[#This Row],[average score]],$AE$9:$AG$13,3,TRUE)</f>
        <v>Satisfactory</v>
      </c>
    </row>
    <row r="339" spans="1:15" x14ac:dyDescent="0.2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t="s">
        <v>373</v>
      </c>
      <c r="J339">
        <f>SUM(Table1[[#This Row],[math score]:[writing score]])</f>
        <v>143</v>
      </c>
      <c r="K339" s="1">
        <f>Table1[[#This Row],[total score]]/3</f>
        <v>47.666666666666664</v>
      </c>
      <c r="L339" s="6" t="str">
        <f>VLOOKUP(Table1[[#This Row],[average score]],$AE$9:$AF$13,2,TRUE)</f>
        <v>F</v>
      </c>
      <c r="M3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39" s="2" t="str">
        <f>IF(OR(Table1[[#This Row],[math score]]&lt;$AC$5,Table1[[#This Row],[reading score]]&lt;$AC$5,Table1[[#This Row],[writing score]]&lt;$AC$5), "Failed atleast one", "Passed all")</f>
        <v>Failed atleast one</v>
      </c>
      <c r="O339" t="str">
        <f>VLOOKUP(Table1[[#This Row],[average score]],$AE$9:$AG$13,3,TRUE)</f>
        <v>Poor</v>
      </c>
    </row>
    <row r="340" spans="1:15" x14ac:dyDescent="0.2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t="s">
        <v>374</v>
      </c>
      <c r="J340">
        <f>SUM(Table1[[#This Row],[math score]:[writing score]])</f>
        <v>89</v>
      </c>
      <c r="K340" s="1">
        <f>Table1[[#This Row],[total score]]/3</f>
        <v>29.666666666666668</v>
      </c>
      <c r="L340" s="6" t="str">
        <f>VLOOKUP(Table1[[#This Row],[average score]],$AE$9:$AF$13,2,TRUE)</f>
        <v>F</v>
      </c>
      <c r="M3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40" s="2" t="str">
        <f>IF(OR(Table1[[#This Row],[math score]]&lt;$AC$5,Table1[[#This Row],[reading score]]&lt;$AC$5,Table1[[#This Row],[writing score]]&lt;$AC$5), "Failed atleast one", "Passed all")</f>
        <v>Failed atleast one</v>
      </c>
      <c r="O340" t="str">
        <f>VLOOKUP(Table1[[#This Row],[average score]],$AE$9:$AG$13,3,TRUE)</f>
        <v>Poor</v>
      </c>
    </row>
    <row r="341" spans="1:15" x14ac:dyDescent="0.2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t="s">
        <v>375</v>
      </c>
      <c r="J341">
        <f>SUM(Table1[[#This Row],[math score]:[writing score]])</f>
        <v>150</v>
      </c>
      <c r="K341" s="1">
        <f>Table1[[#This Row],[total score]]/3</f>
        <v>50</v>
      </c>
      <c r="L341" s="6" t="str">
        <f>VLOOKUP(Table1[[#This Row],[average score]],$AE$9:$AF$13,2,TRUE)</f>
        <v>F</v>
      </c>
      <c r="M3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41" s="2" t="str">
        <f>IF(OR(Table1[[#This Row],[math score]]&lt;$AC$5,Table1[[#This Row],[reading score]]&lt;$AC$5,Table1[[#This Row],[writing score]]&lt;$AC$5), "Failed atleast one", "Passed all")</f>
        <v>Failed atleast one</v>
      </c>
      <c r="O341" t="str">
        <f>VLOOKUP(Table1[[#This Row],[average score]],$AE$9:$AG$13,3,TRUE)</f>
        <v>Poor</v>
      </c>
    </row>
    <row r="342" spans="1:15" x14ac:dyDescent="0.2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t="s">
        <v>376</v>
      </c>
      <c r="J342">
        <f>SUM(Table1[[#This Row],[math score]:[writing score]])</f>
        <v>171</v>
      </c>
      <c r="K342" s="1">
        <f>Table1[[#This Row],[total score]]/3</f>
        <v>57</v>
      </c>
      <c r="L342" s="6" t="str">
        <f>VLOOKUP(Table1[[#This Row],[average score]],$AE$9:$AF$13,2,TRUE)</f>
        <v>F</v>
      </c>
      <c r="M3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42" s="2" t="str">
        <f>IF(OR(Table1[[#This Row],[math score]]&lt;$AC$5,Table1[[#This Row],[reading score]]&lt;$AC$5,Table1[[#This Row],[writing score]]&lt;$AC$5), "Failed atleast one", "Passed all")</f>
        <v>Failed atleast one</v>
      </c>
      <c r="O342" t="str">
        <f>VLOOKUP(Table1[[#This Row],[average score]],$AE$9:$AG$13,3,TRUE)</f>
        <v>Poor</v>
      </c>
    </row>
    <row r="343" spans="1:15" x14ac:dyDescent="0.2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t="s">
        <v>377</v>
      </c>
      <c r="J343">
        <f>SUM(Table1[[#This Row],[math score]:[writing score]])</f>
        <v>197</v>
      </c>
      <c r="K343" s="1">
        <f>Table1[[#This Row],[total score]]/3</f>
        <v>65.666666666666671</v>
      </c>
      <c r="L343" s="6" t="str">
        <f>VLOOKUP(Table1[[#This Row],[average score]],$AE$9:$AF$13,2,TRUE)</f>
        <v>D</v>
      </c>
      <c r="M3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43" s="2" t="str">
        <f>IF(OR(Table1[[#This Row],[math score]]&lt;$AC$5,Table1[[#This Row],[reading score]]&lt;$AC$5,Table1[[#This Row],[writing score]]&lt;$AC$5), "Failed atleast one", "Passed all")</f>
        <v>Passed all</v>
      </c>
      <c r="O343" t="str">
        <f>VLOOKUP(Table1[[#This Row],[average score]],$AE$9:$AG$13,3,TRUE)</f>
        <v>Needs improvements</v>
      </c>
    </row>
    <row r="344" spans="1:15" x14ac:dyDescent="0.2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t="s">
        <v>378</v>
      </c>
      <c r="J344">
        <f>SUM(Table1[[#This Row],[math score]:[writing score]])</f>
        <v>219</v>
      </c>
      <c r="K344" s="1">
        <f>Table1[[#This Row],[total score]]/3</f>
        <v>73</v>
      </c>
      <c r="L344" s="6" t="str">
        <f>VLOOKUP(Table1[[#This Row],[average score]],$AE$9:$AF$13,2,TRUE)</f>
        <v>C</v>
      </c>
      <c r="M3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44" s="2" t="str">
        <f>IF(OR(Table1[[#This Row],[math score]]&lt;$AC$5,Table1[[#This Row],[reading score]]&lt;$AC$5,Table1[[#This Row],[writing score]]&lt;$AC$5), "Failed atleast one", "Passed all")</f>
        <v>Passed all</v>
      </c>
      <c r="O344" t="str">
        <f>VLOOKUP(Table1[[#This Row],[average score]],$AE$9:$AG$13,3,TRUE)</f>
        <v>Satisfactory</v>
      </c>
    </row>
    <row r="345" spans="1:15" x14ac:dyDescent="0.2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t="s">
        <v>379</v>
      </c>
      <c r="J345">
        <f>SUM(Table1[[#This Row],[math score]:[writing score]])</f>
        <v>206</v>
      </c>
      <c r="K345" s="1">
        <f>Table1[[#This Row],[total score]]/3</f>
        <v>68.666666666666671</v>
      </c>
      <c r="L345" s="6" t="str">
        <f>VLOOKUP(Table1[[#This Row],[average score]],$AE$9:$AF$13,2,TRUE)</f>
        <v>D</v>
      </c>
      <c r="M3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45" s="2" t="str">
        <f>IF(OR(Table1[[#This Row],[math score]]&lt;$AC$5,Table1[[#This Row],[reading score]]&lt;$AC$5,Table1[[#This Row],[writing score]]&lt;$AC$5), "Failed atleast one", "Passed all")</f>
        <v>Passed all</v>
      </c>
      <c r="O345" t="str">
        <f>VLOOKUP(Table1[[#This Row],[average score]],$AE$9:$AG$13,3,TRUE)</f>
        <v>Needs improvements</v>
      </c>
    </row>
    <row r="346" spans="1:15" x14ac:dyDescent="0.2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t="s">
        <v>380</v>
      </c>
      <c r="J346">
        <f>SUM(Table1[[#This Row],[math score]:[writing score]])</f>
        <v>219</v>
      </c>
      <c r="K346" s="1">
        <f>Table1[[#This Row],[total score]]/3</f>
        <v>73</v>
      </c>
      <c r="L346" s="6" t="str">
        <f>VLOOKUP(Table1[[#This Row],[average score]],$AE$9:$AF$13,2,TRUE)</f>
        <v>C</v>
      </c>
      <c r="M3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46" s="2" t="str">
        <f>IF(OR(Table1[[#This Row],[math score]]&lt;$AC$5,Table1[[#This Row],[reading score]]&lt;$AC$5,Table1[[#This Row],[writing score]]&lt;$AC$5), "Failed atleast one", "Passed all")</f>
        <v>Passed all</v>
      </c>
      <c r="O346" t="str">
        <f>VLOOKUP(Table1[[#This Row],[average score]],$AE$9:$AG$13,3,TRUE)</f>
        <v>Satisfactory</v>
      </c>
    </row>
    <row r="347" spans="1:15" x14ac:dyDescent="0.2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t="s">
        <v>381</v>
      </c>
      <c r="J347">
        <f>SUM(Table1[[#This Row],[math score]:[writing score]])</f>
        <v>227</v>
      </c>
      <c r="K347" s="1">
        <f>Table1[[#This Row],[total score]]/3</f>
        <v>75.666666666666671</v>
      </c>
      <c r="L347" s="6" t="str">
        <f>VLOOKUP(Table1[[#This Row],[average score]],$AE$9:$AF$13,2,TRUE)</f>
        <v>C</v>
      </c>
      <c r="M3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47" s="2" t="str">
        <f>IF(OR(Table1[[#This Row],[math score]]&lt;$AC$5,Table1[[#This Row],[reading score]]&lt;$AC$5,Table1[[#This Row],[writing score]]&lt;$AC$5), "Failed atleast one", "Passed all")</f>
        <v>Passed all</v>
      </c>
      <c r="O347" t="str">
        <f>VLOOKUP(Table1[[#This Row],[average score]],$AE$9:$AG$13,3,TRUE)</f>
        <v>Satisfactory</v>
      </c>
    </row>
    <row r="348" spans="1:15" x14ac:dyDescent="0.2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t="s">
        <v>382</v>
      </c>
      <c r="J348">
        <f>SUM(Table1[[#This Row],[math score]:[writing score]])</f>
        <v>180</v>
      </c>
      <c r="K348" s="1">
        <f>Table1[[#This Row],[total score]]/3</f>
        <v>60</v>
      </c>
      <c r="L348" s="6" t="str">
        <f>VLOOKUP(Table1[[#This Row],[average score]],$AE$9:$AF$13,2,TRUE)</f>
        <v>D</v>
      </c>
      <c r="M3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48" s="2" t="str">
        <f>IF(OR(Table1[[#This Row],[math score]]&lt;$AC$5,Table1[[#This Row],[reading score]]&lt;$AC$5,Table1[[#This Row],[writing score]]&lt;$AC$5), "Failed atleast one", "Passed all")</f>
        <v>Failed atleast one</v>
      </c>
      <c r="O348" t="str">
        <f>VLOOKUP(Table1[[#This Row],[average score]],$AE$9:$AG$13,3,TRUE)</f>
        <v>Needs improvements</v>
      </c>
    </row>
    <row r="349" spans="1:15" x14ac:dyDescent="0.2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t="s">
        <v>383</v>
      </c>
      <c r="J349">
        <f>SUM(Table1[[#This Row],[math score]:[writing score]])</f>
        <v>266</v>
      </c>
      <c r="K349" s="1">
        <f>Table1[[#This Row],[total score]]/3</f>
        <v>88.666666666666671</v>
      </c>
      <c r="L349" s="6" t="str">
        <f>VLOOKUP(Table1[[#This Row],[average score]],$AE$9:$AF$13,2,TRUE)</f>
        <v>B</v>
      </c>
      <c r="M3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49" s="2" t="str">
        <f>IF(OR(Table1[[#This Row],[math score]]&lt;$AC$5,Table1[[#This Row],[reading score]]&lt;$AC$5,Table1[[#This Row],[writing score]]&lt;$AC$5), "Failed atleast one", "Passed all")</f>
        <v>Passed all</v>
      </c>
      <c r="O349" t="str">
        <f>VLOOKUP(Table1[[#This Row],[average score]],$AE$9:$AG$13,3,TRUE)</f>
        <v xml:space="preserve">Good </v>
      </c>
    </row>
    <row r="350" spans="1:15" x14ac:dyDescent="0.2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t="s">
        <v>384</v>
      </c>
      <c r="J350">
        <f>SUM(Table1[[#This Row],[math score]:[writing score]])</f>
        <v>215</v>
      </c>
      <c r="K350" s="1">
        <f>Table1[[#This Row],[total score]]/3</f>
        <v>71.666666666666671</v>
      </c>
      <c r="L350" s="6" t="str">
        <f>VLOOKUP(Table1[[#This Row],[average score]],$AE$9:$AF$13,2,TRUE)</f>
        <v>C</v>
      </c>
      <c r="M3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50" s="2" t="str">
        <f>IF(OR(Table1[[#This Row],[math score]]&lt;$AC$5,Table1[[#This Row],[reading score]]&lt;$AC$5,Table1[[#This Row],[writing score]]&lt;$AC$5), "Failed atleast one", "Passed all")</f>
        <v>Passed all</v>
      </c>
      <c r="O350" t="str">
        <f>VLOOKUP(Table1[[#This Row],[average score]],$AE$9:$AG$13,3,TRUE)</f>
        <v>Satisfactory</v>
      </c>
    </row>
    <row r="351" spans="1:15" x14ac:dyDescent="0.2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t="s">
        <v>385</v>
      </c>
      <c r="J351">
        <f>SUM(Table1[[#This Row],[math score]:[writing score]])</f>
        <v>237</v>
      </c>
      <c r="K351" s="1">
        <f>Table1[[#This Row],[total score]]/3</f>
        <v>79</v>
      </c>
      <c r="L351" s="6" t="str">
        <f>VLOOKUP(Table1[[#This Row],[average score]],$AE$9:$AF$13,2,TRUE)</f>
        <v>C</v>
      </c>
      <c r="M3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51" s="2" t="str">
        <f>IF(OR(Table1[[#This Row],[math score]]&lt;$AC$5,Table1[[#This Row],[reading score]]&lt;$AC$5,Table1[[#This Row],[writing score]]&lt;$AC$5), "Failed atleast one", "Passed all")</f>
        <v>Passed all</v>
      </c>
      <c r="O351" t="str">
        <f>VLOOKUP(Table1[[#This Row],[average score]],$AE$9:$AG$13,3,TRUE)</f>
        <v>Satisfactory</v>
      </c>
    </row>
    <row r="352" spans="1:15" x14ac:dyDescent="0.2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t="s">
        <v>386</v>
      </c>
      <c r="J352">
        <f>SUM(Table1[[#This Row],[math score]:[writing score]])</f>
        <v>186</v>
      </c>
      <c r="K352" s="1">
        <f>Table1[[#This Row],[total score]]/3</f>
        <v>62</v>
      </c>
      <c r="L352" s="6" t="str">
        <f>VLOOKUP(Table1[[#This Row],[average score]],$AE$9:$AF$13,2,TRUE)</f>
        <v>D</v>
      </c>
      <c r="M3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52" s="2" t="str">
        <f>IF(OR(Table1[[#This Row],[math score]]&lt;$AC$5,Table1[[#This Row],[reading score]]&lt;$AC$5,Table1[[#This Row],[writing score]]&lt;$AC$5), "Failed atleast one", "Passed all")</f>
        <v>Failed atleast one</v>
      </c>
      <c r="O352" t="str">
        <f>VLOOKUP(Table1[[#This Row],[average score]],$AE$9:$AG$13,3,TRUE)</f>
        <v>Needs improvements</v>
      </c>
    </row>
    <row r="353" spans="1:15" x14ac:dyDescent="0.2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t="s">
        <v>387</v>
      </c>
      <c r="J353">
        <f>SUM(Table1[[#This Row],[math score]:[writing score]])</f>
        <v>175</v>
      </c>
      <c r="K353" s="1">
        <f>Table1[[#This Row],[total score]]/3</f>
        <v>58.333333333333336</v>
      </c>
      <c r="L353" s="6" t="str">
        <f>VLOOKUP(Table1[[#This Row],[average score]],$AE$9:$AF$13,2,TRUE)</f>
        <v>F</v>
      </c>
      <c r="M3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53" s="2" t="str">
        <f>IF(OR(Table1[[#This Row],[math score]]&lt;$AC$5,Table1[[#This Row],[reading score]]&lt;$AC$5,Table1[[#This Row],[writing score]]&lt;$AC$5), "Failed atleast one", "Passed all")</f>
        <v>Failed atleast one</v>
      </c>
      <c r="O353" t="str">
        <f>VLOOKUP(Table1[[#This Row],[average score]],$AE$9:$AG$13,3,TRUE)</f>
        <v>Poor</v>
      </c>
    </row>
    <row r="354" spans="1:15" x14ac:dyDescent="0.2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t="s">
        <v>388</v>
      </c>
      <c r="J354">
        <f>SUM(Table1[[#This Row],[math score]:[writing score]])</f>
        <v>221</v>
      </c>
      <c r="K354" s="1">
        <f>Table1[[#This Row],[total score]]/3</f>
        <v>73.666666666666671</v>
      </c>
      <c r="L354" s="6" t="str">
        <f>VLOOKUP(Table1[[#This Row],[average score]],$AE$9:$AF$13,2,TRUE)</f>
        <v>C</v>
      </c>
      <c r="M3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54" s="2" t="str">
        <f>IF(OR(Table1[[#This Row],[math score]]&lt;$AC$5,Table1[[#This Row],[reading score]]&lt;$AC$5,Table1[[#This Row],[writing score]]&lt;$AC$5), "Failed atleast one", "Passed all")</f>
        <v>Passed all</v>
      </c>
      <c r="O354" t="str">
        <f>VLOOKUP(Table1[[#This Row],[average score]],$AE$9:$AG$13,3,TRUE)</f>
        <v>Satisfactory</v>
      </c>
    </row>
    <row r="355" spans="1:15" x14ac:dyDescent="0.2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t="s">
        <v>389</v>
      </c>
      <c r="J355">
        <f>SUM(Table1[[#This Row],[math score]:[writing score]])</f>
        <v>161</v>
      </c>
      <c r="K355" s="1">
        <f>Table1[[#This Row],[total score]]/3</f>
        <v>53.666666666666664</v>
      </c>
      <c r="L355" s="6" t="str">
        <f>VLOOKUP(Table1[[#This Row],[average score]],$AE$9:$AF$13,2,TRUE)</f>
        <v>F</v>
      </c>
      <c r="M3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55" s="2" t="str">
        <f>IF(OR(Table1[[#This Row],[math score]]&lt;$AC$5,Table1[[#This Row],[reading score]]&lt;$AC$5,Table1[[#This Row],[writing score]]&lt;$AC$5), "Failed atleast one", "Passed all")</f>
        <v>Failed atleast one</v>
      </c>
      <c r="O355" t="str">
        <f>VLOOKUP(Table1[[#This Row],[average score]],$AE$9:$AG$13,3,TRUE)</f>
        <v>Poor</v>
      </c>
    </row>
    <row r="356" spans="1:15" x14ac:dyDescent="0.2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t="s">
        <v>390</v>
      </c>
      <c r="J356">
        <f>SUM(Table1[[#This Row],[math score]:[writing score]])</f>
        <v>200</v>
      </c>
      <c r="K356" s="1">
        <f>Table1[[#This Row],[total score]]/3</f>
        <v>66.666666666666671</v>
      </c>
      <c r="L356" s="6" t="str">
        <f>VLOOKUP(Table1[[#This Row],[average score]],$AE$9:$AF$13,2,TRUE)</f>
        <v>D</v>
      </c>
      <c r="M3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56" s="2" t="str">
        <f>IF(OR(Table1[[#This Row],[math score]]&lt;$AC$5,Table1[[#This Row],[reading score]]&lt;$AC$5,Table1[[#This Row],[writing score]]&lt;$AC$5), "Failed atleast one", "Passed all")</f>
        <v>Failed atleast one</v>
      </c>
      <c r="O356" t="str">
        <f>VLOOKUP(Table1[[#This Row],[average score]],$AE$9:$AG$13,3,TRUE)</f>
        <v>Needs improvements</v>
      </c>
    </row>
    <row r="357" spans="1:15" x14ac:dyDescent="0.2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t="s">
        <v>391</v>
      </c>
      <c r="J357">
        <f>SUM(Table1[[#This Row],[math score]:[writing score]])</f>
        <v>203</v>
      </c>
      <c r="K357" s="1">
        <f>Table1[[#This Row],[total score]]/3</f>
        <v>67.666666666666671</v>
      </c>
      <c r="L357" s="6" t="str">
        <f>VLOOKUP(Table1[[#This Row],[average score]],$AE$9:$AF$13,2,TRUE)</f>
        <v>D</v>
      </c>
      <c r="M3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57" s="2" t="str">
        <f>IF(OR(Table1[[#This Row],[math score]]&lt;$AC$5,Table1[[#This Row],[reading score]]&lt;$AC$5,Table1[[#This Row],[writing score]]&lt;$AC$5), "Failed atleast one", "Passed all")</f>
        <v>Passed all</v>
      </c>
      <c r="O357" t="str">
        <f>VLOOKUP(Table1[[#This Row],[average score]],$AE$9:$AG$13,3,TRUE)</f>
        <v>Needs improvements</v>
      </c>
    </row>
    <row r="358" spans="1:15" x14ac:dyDescent="0.2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t="s">
        <v>392</v>
      </c>
      <c r="J358">
        <f>SUM(Table1[[#This Row],[math score]:[writing score]])</f>
        <v>185</v>
      </c>
      <c r="K358" s="1">
        <f>Table1[[#This Row],[total score]]/3</f>
        <v>61.666666666666664</v>
      </c>
      <c r="L358" s="6" t="str">
        <f>VLOOKUP(Table1[[#This Row],[average score]],$AE$9:$AF$13,2,TRUE)</f>
        <v>D</v>
      </c>
      <c r="M3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58" s="2" t="str">
        <f>IF(OR(Table1[[#This Row],[math score]]&lt;$AC$5,Table1[[#This Row],[reading score]]&lt;$AC$5,Table1[[#This Row],[writing score]]&lt;$AC$5), "Failed atleast one", "Passed all")</f>
        <v>Passed all</v>
      </c>
      <c r="O358" t="str">
        <f>VLOOKUP(Table1[[#This Row],[average score]],$AE$9:$AG$13,3,TRUE)</f>
        <v>Needs improvements</v>
      </c>
    </row>
    <row r="359" spans="1:15" x14ac:dyDescent="0.2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t="s">
        <v>393</v>
      </c>
      <c r="J359">
        <f>SUM(Table1[[#This Row],[math score]:[writing score]])</f>
        <v>177</v>
      </c>
      <c r="K359" s="1">
        <f>Table1[[#This Row],[total score]]/3</f>
        <v>59</v>
      </c>
      <c r="L359" s="6" t="str">
        <f>VLOOKUP(Table1[[#This Row],[average score]],$AE$9:$AF$13,2,TRUE)</f>
        <v>F</v>
      </c>
      <c r="M3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59" s="2" t="str">
        <f>IF(OR(Table1[[#This Row],[math score]]&lt;$AC$5,Table1[[#This Row],[reading score]]&lt;$AC$5,Table1[[#This Row],[writing score]]&lt;$AC$5), "Failed atleast one", "Passed all")</f>
        <v>Failed atleast one</v>
      </c>
      <c r="O359" t="str">
        <f>VLOOKUP(Table1[[#This Row],[average score]],$AE$9:$AG$13,3,TRUE)</f>
        <v>Poor</v>
      </c>
    </row>
    <row r="360" spans="1:15" x14ac:dyDescent="0.2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t="s">
        <v>394</v>
      </c>
      <c r="J360">
        <f>SUM(Table1[[#This Row],[math score]:[writing score]])</f>
        <v>182</v>
      </c>
      <c r="K360" s="1">
        <f>Table1[[#This Row],[total score]]/3</f>
        <v>60.666666666666664</v>
      </c>
      <c r="L360" s="6" t="str">
        <f>VLOOKUP(Table1[[#This Row],[average score]],$AE$9:$AF$13,2,TRUE)</f>
        <v>D</v>
      </c>
      <c r="M3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60" s="2" t="str">
        <f>IF(OR(Table1[[#This Row],[math score]]&lt;$AC$5,Table1[[#This Row],[reading score]]&lt;$AC$5,Table1[[#This Row],[writing score]]&lt;$AC$5), "Failed atleast one", "Passed all")</f>
        <v>Failed atleast one</v>
      </c>
      <c r="O360" t="str">
        <f>VLOOKUP(Table1[[#This Row],[average score]],$AE$9:$AG$13,3,TRUE)</f>
        <v>Needs improvements</v>
      </c>
    </row>
    <row r="361" spans="1:15" x14ac:dyDescent="0.2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t="s">
        <v>395</v>
      </c>
      <c r="J361">
        <f>SUM(Table1[[#This Row],[math score]:[writing score]])</f>
        <v>259</v>
      </c>
      <c r="K361" s="1">
        <f>Table1[[#This Row],[total score]]/3</f>
        <v>86.333333333333329</v>
      </c>
      <c r="L361" s="6" t="str">
        <f>VLOOKUP(Table1[[#This Row],[average score]],$AE$9:$AF$13,2,TRUE)</f>
        <v>B</v>
      </c>
      <c r="M3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61" s="2" t="str">
        <f>IF(OR(Table1[[#This Row],[math score]]&lt;$AC$5,Table1[[#This Row],[reading score]]&lt;$AC$5,Table1[[#This Row],[writing score]]&lt;$AC$5), "Failed atleast one", "Passed all")</f>
        <v>Passed all</v>
      </c>
      <c r="O361" t="str">
        <f>VLOOKUP(Table1[[#This Row],[average score]],$AE$9:$AG$13,3,TRUE)</f>
        <v xml:space="preserve">Good </v>
      </c>
    </row>
    <row r="362" spans="1:15" x14ac:dyDescent="0.2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t="s">
        <v>396</v>
      </c>
      <c r="J362">
        <f>SUM(Table1[[#This Row],[math score]:[writing score]])</f>
        <v>179</v>
      </c>
      <c r="K362" s="1">
        <f>Table1[[#This Row],[total score]]/3</f>
        <v>59.666666666666664</v>
      </c>
      <c r="L362" s="6" t="str">
        <f>VLOOKUP(Table1[[#This Row],[average score]],$AE$9:$AF$13,2,TRUE)</f>
        <v>F</v>
      </c>
      <c r="M3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62" s="2" t="str">
        <f>IF(OR(Table1[[#This Row],[math score]]&lt;$AC$5,Table1[[#This Row],[reading score]]&lt;$AC$5,Table1[[#This Row],[writing score]]&lt;$AC$5), "Failed atleast one", "Passed all")</f>
        <v>Failed atleast one</v>
      </c>
      <c r="O362" t="str">
        <f>VLOOKUP(Table1[[#This Row],[average score]],$AE$9:$AG$13,3,TRUE)</f>
        <v>Poor</v>
      </c>
    </row>
    <row r="363" spans="1:15" x14ac:dyDescent="0.2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t="s">
        <v>397</v>
      </c>
      <c r="J363">
        <f>SUM(Table1[[#This Row],[math score]:[writing score]])</f>
        <v>247</v>
      </c>
      <c r="K363" s="1">
        <f>Table1[[#This Row],[total score]]/3</f>
        <v>82.333333333333329</v>
      </c>
      <c r="L363" s="6" t="str">
        <f>VLOOKUP(Table1[[#This Row],[average score]],$AE$9:$AF$13,2,TRUE)</f>
        <v>B</v>
      </c>
      <c r="M3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63" s="2" t="str">
        <f>IF(OR(Table1[[#This Row],[math score]]&lt;$AC$5,Table1[[#This Row],[reading score]]&lt;$AC$5,Table1[[#This Row],[writing score]]&lt;$AC$5), "Failed atleast one", "Passed all")</f>
        <v>Passed all</v>
      </c>
      <c r="O363" t="str">
        <f>VLOOKUP(Table1[[#This Row],[average score]],$AE$9:$AG$13,3,TRUE)</f>
        <v xml:space="preserve">Good </v>
      </c>
    </row>
    <row r="364" spans="1:15" x14ac:dyDescent="0.2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t="s">
        <v>398</v>
      </c>
      <c r="J364">
        <f>SUM(Table1[[#This Row],[math score]:[writing score]])</f>
        <v>168</v>
      </c>
      <c r="K364" s="1">
        <f>Table1[[#This Row],[total score]]/3</f>
        <v>56</v>
      </c>
      <c r="L364" s="6" t="str">
        <f>VLOOKUP(Table1[[#This Row],[average score]],$AE$9:$AF$13,2,TRUE)</f>
        <v>F</v>
      </c>
      <c r="M3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64" s="2" t="str">
        <f>IF(OR(Table1[[#This Row],[math score]]&lt;$AC$5,Table1[[#This Row],[reading score]]&lt;$AC$5,Table1[[#This Row],[writing score]]&lt;$AC$5), "Failed atleast one", "Passed all")</f>
        <v>Failed atleast one</v>
      </c>
      <c r="O364" t="str">
        <f>VLOOKUP(Table1[[#This Row],[average score]],$AE$9:$AG$13,3,TRUE)</f>
        <v>Poor</v>
      </c>
    </row>
    <row r="365" spans="1:15" x14ac:dyDescent="0.2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t="s">
        <v>399</v>
      </c>
      <c r="J365">
        <f>SUM(Table1[[#This Row],[math score]:[writing score]])</f>
        <v>93</v>
      </c>
      <c r="K365" s="1">
        <f>Table1[[#This Row],[total score]]/3</f>
        <v>31</v>
      </c>
      <c r="L365" s="6" t="str">
        <f>VLOOKUP(Table1[[#This Row],[average score]],$AE$9:$AF$13,2,TRUE)</f>
        <v>F</v>
      </c>
      <c r="M3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65" s="2" t="str">
        <f>IF(OR(Table1[[#This Row],[math score]]&lt;$AC$5,Table1[[#This Row],[reading score]]&lt;$AC$5,Table1[[#This Row],[writing score]]&lt;$AC$5), "Failed atleast one", "Passed all")</f>
        <v>Failed atleast one</v>
      </c>
      <c r="O365" t="str">
        <f>VLOOKUP(Table1[[#This Row],[average score]],$AE$9:$AG$13,3,TRUE)</f>
        <v>Poor</v>
      </c>
    </row>
    <row r="366" spans="1:15" x14ac:dyDescent="0.2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t="s">
        <v>400</v>
      </c>
      <c r="J366">
        <f>SUM(Table1[[#This Row],[math score]:[writing score]])</f>
        <v>177</v>
      </c>
      <c r="K366" s="1">
        <f>Table1[[#This Row],[total score]]/3</f>
        <v>59</v>
      </c>
      <c r="L366" s="6" t="str">
        <f>VLOOKUP(Table1[[#This Row],[average score]],$AE$9:$AF$13,2,TRUE)</f>
        <v>F</v>
      </c>
      <c r="M3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66" s="2" t="str">
        <f>IF(OR(Table1[[#This Row],[math score]]&lt;$AC$5,Table1[[#This Row],[reading score]]&lt;$AC$5,Table1[[#This Row],[writing score]]&lt;$AC$5), "Failed atleast one", "Passed all")</f>
        <v>Failed atleast one</v>
      </c>
      <c r="O366" t="str">
        <f>VLOOKUP(Table1[[#This Row],[average score]],$AE$9:$AG$13,3,TRUE)</f>
        <v>Poor</v>
      </c>
    </row>
    <row r="367" spans="1:15" x14ac:dyDescent="0.2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t="s">
        <v>401</v>
      </c>
      <c r="J367">
        <f>SUM(Table1[[#This Row],[math score]:[writing score]])</f>
        <v>167</v>
      </c>
      <c r="K367" s="1">
        <f>Table1[[#This Row],[total score]]/3</f>
        <v>55.666666666666664</v>
      </c>
      <c r="L367" s="6" t="str">
        <f>VLOOKUP(Table1[[#This Row],[average score]],$AE$9:$AF$13,2,TRUE)</f>
        <v>F</v>
      </c>
      <c r="M3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67" s="2" t="str">
        <f>IF(OR(Table1[[#This Row],[math score]]&lt;$AC$5,Table1[[#This Row],[reading score]]&lt;$AC$5,Table1[[#This Row],[writing score]]&lt;$AC$5), "Failed atleast one", "Passed all")</f>
        <v>Failed atleast one</v>
      </c>
      <c r="O367" t="str">
        <f>VLOOKUP(Table1[[#This Row],[average score]],$AE$9:$AG$13,3,TRUE)</f>
        <v>Poor</v>
      </c>
    </row>
    <row r="368" spans="1:15" x14ac:dyDescent="0.2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t="s">
        <v>402</v>
      </c>
      <c r="J368">
        <f>SUM(Table1[[#This Row],[math score]:[writing score]])</f>
        <v>180</v>
      </c>
      <c r="K368" s="1">
        <f>Table1[[#This Row],[total score]]/3</f>
        <v>60</v>
      </c>
      <c r="L368" s="6" t="str">
        <f>VLOOKUP(Table1[[#This Row],[average score]],$AE$9:$AF$13,2,TRUE)</f>
        <v>D</v>
      </c>
      <c r="M3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68" s="2" t="str">
        <f>IF(OR(Table1[[#This Row],[math score]]&lt;$AC$5,Table1[[#This Row],[reading score]]&lt;$AC$5,Table1[[#This Row],[writing score]]&lt;$AC$5), "Failed atleast one", "Passed all")</f>
        <v>Failed atleast one</v>
      </c>
      <c r="O368" t="str">
        <f>VLOOKUP(Table1[[#This Row],[average score]],$AE$9:$AG$13,3,TRUE)</f>
        <v>Needs improvements</v>
      </c>
    </row>
    <row r="369" spans="1:15" x14ac:dyDescent="0.2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t="s">
        <v>403</v>
      </c>
      <c r="J369">
        <f>SUM(Table1[[#This Row],[math score]:[writing score]])</f>
        <v>188</v>
      </c>
      <c r="K369" s="1">
        <f>Table1[[#This Row],[total score]]/3</f>
        <v>62.666666666666664</v>
      </c>
      <c r="L369" s="6" t="str">
        <f>VLOOKUP(Table1[[#This Row],[average score]],$AE$9:$AF$13,2,TRUE)</f>
        <v>D</v>
      </c>
      <c r="M3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69" s="2" t="str">
        <f>IF(OR(Table1[[#This Row],[math score]]&lt;$AC$5,Table1[[#This Row],[reading score]]&lt;$AC$5,Table1[[#This Row],[writing score]]&lt;$AC$5), "Failed atleast one", "Passed all")</f>
        <v>Passed all</v>
      </c>
      <c r="O369" t="str">
        <f>VLOOKUP(Table1[[#This Row],[average score]],$AE$9:$AG$13,3,TRUE)</f>
        <v>Needs improvements</v>
      </c>
    </row>
    <row r="370" spans="1:15" x14ac:dyDescent="0.2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t="s">
        <v>404</v>
      </c>
      <c r="J370">
        <f>SUM(Table1[[#This Row],[math score]:[writing score]])</f>
        <v>166</v>
      </c>
      <c r="K370" s="1">
        <f>Table1[[#This Row],[total score]]/3</f>
        <v>55.333333333333336</v>
      </c>
      <c r="L370" s="6" t="str">
        <f>VLOOKUP(Table1[[#This Row],[average score]],$AE$9:$AF$13,2,TRUE)</f>
        <v>F</v>
      </c>
      <c r="M3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70" s="2" t="str">
        <f>IF(OR(Table1[[#This Row],[math score]]&lt;$AC$5,Table1[[#This Row],[reading score]]&lt;$AC$5,Table1[[#This Row],[writing score]]&lt;$AC$5), "Failed atleast one", "Passed all")</f>
        <v>Failed atleast one</v>
      </c>
      <c r="O370" t="str">
        <f>VLOOKUP(Table1[[#This Row],[average score]],$AE$9:$AG$13,3,TRUE)</f>
        <v>Poor</v>
      </c>
    </row>
    <row r="371" spans="1:15" x14ac:dyDescent="0.2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t="s">
        <v>405</v>
      </c>
      <c r="J371">
        <f>SUM(Table1[[#This Row],[math score]:[writing score]])</f>
        <v>242</v>
      </c>
      <c r="K371" s="1">
        <f>Table1[[#This Row],[total score]]/3</f>
        <v>80.666666666666671</v>
      </c>
      <c r="L371" s="6" t="str">
        <f>VLOOKUP(Table1[[#This Row],[average score]],$AE$9:$AF$13,2,TRUE)</f>
        <v>B</v>
      </c>
      <c r="M3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71" s="2" t="str">
        <f>IF(OR(Table1[[#This Row],[math score]]&lt;$AC$5,Table1[[#This Row],[reading score]]&lt;$AC$5,Table1[[#This Row],[writing score]]&lt;$AC$5), "Failed atleast one", "Passed all")</f>
        <v>Passed all</v>
      </c>
      <c r="O371" t="str">
        <f>VLOOKUP(Table1[[#This Row],[average score]],$AE$9:$AG$13,3,TRUE)</f>
        <v xml:space="preserve">Good </v>
      </c>
    </row>
    <row r="372" spans="1:15" x14ac:dyDescent="0.2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t="s">
        <v>406</v>
      </c>
      <c r="J372">
        <f>SUM(Table1[[#This Row],[math score]:[writing score]])</f>
        <v>232</v>
      </c>
      <c r="K372" s="1">
        <f>Table1[[#This Row],[total score]]/3</f>
        <v>77.333333333333329</v>
      </c>
      <c r="L372" s="6" t="str">
        <f>VLOOKUP(Table1[[#This Row],[average score]],$AE$9:$AF$13,2,TRUE)</f>
        <v>C</v>
      </c>
      <c r="M3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72" s="2" t="str">
        <f>IF(OR(Table1[[#This Row],[math score]]&lt;$AC$5,Table1[[#This Row],[reading score]]&lt;$AC$5,Table1[[#This Row],[writing score]]&lt;$AC$5), "Failed atleast one", "Passed all")</f>
        <v>Passed all</v>
      </c>
      <c r="O372" t="str">
        <f>VLOOKUP(Table1[[#This Row],[average score]],$AE$9:$AG$13,3,TRUE)</f>
        <v>Satisfactory</v>
      </c>
    </row>
    <row r="373" spans="1:15" x14ac:dyDescent="0.2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t="s">
        <v>407</v>
      </c>
      <c r="J373">
        <f>SUM(Table1[[#This Row],[math score]:[writing score]])</f>
        <v>188</v>
      </c>
      <c r="K373" s="1">
        <f>Table1[[#This Row],[total score]]/3</f>
        <v>62.666666666666664</v>
      </c>
      <c r="L373" s="6" t="str">
        <f>VLOOKUP(Table1[[#This Row],[average score]],$AE$9:$AF$13,2,TRUE)</f>
        <v>D</v>
      </c>
      <c r="M3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73" s="2" t="str">
        <f>IF(OR(Table1[[#This Row],[math score]]&lt;$AC$5,Table1[[#This Row],[reading score]]&lt;$AC$5,Table1[[#This Row],[writing score]]&lt;$AC$5), "Failed atleast one", "Passed all")</f>
        <v>Failed atleast one</v>
      </c>
      <c r="O373" t="str">
        <f>VLOOKUP(Table1[[#This Row],[average score]],$AE$9:$AG$13,3,TRUE)</f>
        <v>Needs improvements</v>
      </c>
    </row>
    <row r="374" spans="1:15" x14ac:dyDescent="0.2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t="s">
        <v>408</v>
      </c>
      <c r="J374">
        <f>SUM(Table1[[#This Row],[math score]:[writing score]])</f>
        <v>220</v>
      </c>
      <c r="K374" s="1">
        <f>Table1[[#This Row],[total score]]/3</f>
        <v>73.333333333333329</v>
      </c>
      <c r="L374" s="6" t="str">
        <f>VLOOKUP(Table1[[#This Row],[average score]],$AE$9:$AF$13,2,TRUE)</f>
        <v>C</v>
      </c>
      <c r="M3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74" s="2" t="str">
        <f>IF(OR(Table1[[#This Row],[math score]]&lt;$AC$5,Table1[[#This Row],[reading score]]&lt;$AC$5,Table1[[#This Row],[writing score]]&lt;$AC$5), "Failed atleast one", "Passed all")</f>
        <v>Passed all</v>
      </c>
      <c r="O374" t="str">
        <f>VLOOKUP(Table1[[#This Row],[average score]],$AE$9:$AG$13,3,TRUE)</f>
        <v>Satisfactory</v>
      </c>
    </row>
    <row r="375" spans="1:15" x14ac:dyDescent="0.2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t="s">
        <v>409</v>
      </c>
      <c r="J375">
        <f>SUM(Table1[[#This Row],[math score]:[writing score]])</f>
        <v>275</v>
      </c>
      <c r="K375" s="1">
        <f>Table1[[#This Row],[total score]]/3</f>
        <v>91.666666666666671</v>
      </c>
      <c r="L375" s="6" t="str">
        <f>VLOOKUP(Table1[[#This Row],[average score]],$AE$9:$AF$13,2,TRUE)</f>
        <v>A</v>
      </c>
      <c r="M3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375" s="2" t="str">
        <f>IF(OR(Table1[[#This Row],[math score]]&lt;$AC$5,Table1[[#This Row],[reading score]]&lt;$AC$5,Table1[[#This Row],[writing score]]&lt;$AC$5), "Failed atleast one", "Passed all")</f>
        <v>Passed all</v>
      </c>
      <c r="O375" t="str">
        <f>VLOOKUP(Table1[[#This Row],[average score]],$AE$9:$AG$13,3,TRUE)</f>
        <v>Outstanding</v>
      </c>
    </row>
    <row r="376" spans="1:15" x14ac:dyDescent="0.2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t="s">
        <v>410</v>
      </c>
      <c r="J376">
        <f>SUM(Table1[[#This Row],[math score]:[writing score]])</f>
        <v>202</v>
      </c>
      <c r="K376" s="1">
        <f>Table1[[#This Row],[total score]]/3</f>
        <v>67.333333333333329</v>
      </c>
      <c r="L376" s="6" t="str">
        <f>VLOOKUP(Table1[[#This Row],[average score]],$AE$9:$AF$13,2,TRUE)</f>
        <v>D</v>
      </c>
      <c r="M3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76" s="2" t="str">
        <f>IF(OR(Table1[[#This Row],[math score]]&lt;$AC$5,Table1[[#This Row],[reading score]]&lt;$AC$5,Table1[[#This Row],[writing score]]&lt;$AC$5), "Failed atleast one", "Passed all")</f>
        <v>Failed atleast one</v>
      </c>
      <c r="O376" t="str">
        <f>VLOOKUP(Table1[[#This Row],[average score]],$AE$9:$AG$13,3,TRUE)</f>
        <v>Needs improvements</v>
      </c>
    </row>
    <row r="377" spans="1:15" x14ac:dyDescent="0.2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t="s">
        <v>411</v>
      </c>
      <c r="J377">
        <f>SUM(Table1[[#This Row],[math score]:[writing score]])</f>
        <v>130</v>
      </c>
      <c r="K377" s="1">
        <f>Table1[[#This Row],[total score]]/3</f>
        <v>43.333333333333336</v>
      </c>
      <c r="L377" s="6" t="str">
        <f>VLOOKUP(Table1[[#This Row],[average score]],$AE$9:$AF$13,2,TRUE)</f>
        <v>F</v>
      </c>
      <c r="M3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77" s="2" t="str">
        <f>IF(OR(Table1[[#This Row],[math score]]&lt;$AC$5,Table1[[#This Row],[reading score]]&lt;$AC$5,Table1[[#This Row],[writing score]]&lt;$AC$5), "Failed atleast one", "Passed all")</f>
        <v>Failed atleast one</v>
      </c>
      <c r="O377" t="str">
        <f>VLOOKUP(Table1[[#This Row],[average score]],$AE$9:$AG$13,3,TRUE)</f>
        <v>Poor</v>
      </c>
    </row>
    <row r="378" spans="1:15" x14ac:dyDescent="0.2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t="s">
        <v>412</v>
      </c>
      <c r="J378">
        <f>SUM(Table1[[#This Row],[math score]:[writing score]])</f>
        <v>252</v>
      </c>
      <c r="K378" s="1">
        <f>Table1[[#This Row],[total score]]/3</f>
        <v>84</v>
      </c>
      <c r="L378" s="6" t="str">
        <f>VLOOKUP(Table1[[#This Row],[average score]],$AE$9:$AF$13,2,TRUE)</f>
        <v>B</v>
      </c>
      <c r="M3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78" s="2" t="str">
        <f>IF(OR(Table1[[#This Row],[math score]]&lt;$AC$5,Table1[[#This Row],[reading score]]&lt;$AC$5,Table1[[#This Row],[writing score]]&lt;$AC$5), "Failed atleast one", "Passed all")</f>
        <v>Passed all</v>
      </c>
      <c r="O378" t="str">
        <f>VLOOKUP(Table1[[#This Row],[average score]],$AE$9:$AG$13,3,TRUE)</f>
        <v xml:space="preserve">Good </v>
      </c>
    </row>
    <row r="379" spans="1:15" x14ac:dyDescent="0.2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t="s">
        <v>413</v>
      </c>
      <c r="J379">
        <f>SUM(Table1[[#This Row],[math score]:[writing score]])</f>
        <v>280</v>
      </c>
      <c r="K379" s="1">
        <f>Table1[[#This Row],[total score]]/3</f>
        <v>93.333333333333329</v>
      </c>
      <c r="L379" s="6" t="str">
        <f>VLOOKUP(Table1[[#This Row],[average score]],$AE$9:$AF$13,2,TRUE)</f>
        <v>A</v>
      </c>
      <c r="M3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379" s="2" t="str">
        <f>IF(OR(Table1[[#This Row],[math score]]&lt;$AC$5,Table1[[#This Row],[reading score]]&lt;$AC$5,Table1[[#This Row],[writing score]]&lt;$AC$5), "Failed atleast one", "Passed all")</f>
        <v>Passed all</v>
      </c>
      <c r="O379" t="str">
        <f>VLOOKUP(Table1[[#This Row],[average score]],$AE$9:$AG$13,3,TRUE)</f>
        <v>Outstanding</v>
      </c>
    </row>
    <row r="380" spans="1:15" x14ac:dyDescent="0.2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t="s">
        <v>414</v>
      </c>
      <c r="J380">
        <f>SUM(Table1[[#This Row],[math score]:[writing score]])</f>
        <v>231</v>
      </c>
      <c r="K380" s="1">
        <f>Table1[[#This Row],[total score]]/3</f>
        <v>77</v>
      </c>
      <c r="L380" s="6" t="str">
        <f>VLOOKUP(Table1[[#This Row],[average score]],$AE$9:$AF$13,2,TRUE)</f>
        <v>C</v>
      </c>
      <c r="M3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80" s="2" t="str">
        <f>IF(OR(Table1[[#This Row],[math score]]&lt;$AC$5,Table1[[#This Row],[reading score]]&lt;$AC$5,Table1[[#This Row],[writing score]]&lt;$AC$5), "Failed atleast one", "Passed all")</f>
        <v>Passed all</v>
      </c>
      <c r="O380" t="str">
        <f>VLOOKUP(Table1[[#This Row],[average score]],$AE$9:$AG$13,3,TRUE)</f>
        <v>Satisfactory</v>
      </c>
    </row>
    <row r="381" spans="1:15" x14ac:dyDescent="0.2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t="s">
        <v>415</v>
      </c>
      <c r="J381">
        <f>SUM(Table1[[#This Row],[math score]:[writing score]])</f>
        <v>192</v>
      </c>
      <c r="K381" s="1">
        <f>Table1[[#This Row],[total score]]/3</f>
        <v>64</v>
      </c>
      <c r="L381" s="6" t="str">
        <f>VLOOKUP(Table1[[#This Row],[average score]],$AE$9:$AF$13,2,TRUE)</f>
        <v>D</v>
      </c>
      <c r="M3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81" s="2" t="str">
        <f>IF(OR(Table1[[#This Row],[math score]]&lt;$AC$5,Table1[[#This Row],[reading score]]&lt;$AC$5,Table1[[#This Row],[writing score]]&lt;$AC$5), "Failed atleast one", "Passed all")</f>
        <v>Passed all</v>
      </c>
      <c r="O381" t="str">
        <f>VLOOKUP(Table1[[#This Row],[average score]],$AE$9:$AG$13,3,TRUE)</f>
        <v>Needs improvements</v>
      </c>
    </row>
    <row r="382" spans="1:15" x14ac:dyDescent="0.2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t="s">
        <v>416</v>
      </c>
      <c r="J382">
        <f>SUM(Table1[[#This Row],[math score]:[writing score]])</f>
        <v>249</v>
      </c>
      <c r="K382" s="1">
        <f>Table1[[#This Row],[total score]]/3</f>
        <v>83</v>
      </c>
      <c r="L382" s="6" t="str">
        <f>VLOOKUP(Table1[[#This Row],[average score]],$AE$9:$AF$13,2,TRUE)</f>
        <v>B</v>
      </c>
      <c r="M3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82" s="2" t="str">
        <f>IF(OR(Table1[[#This Row],[math score]]&lt;$AC$5,Table1[[#This Row],[reading score]]&lt;$AC$5,Table1[[#This Row],[writing score]]&lt;$AC$5), "Failed atleast one", "Passed all")</f>
        <v>Passed all</v>
      </c>
      <c r="O382" t="str">
        <f>VLOOKUP(Table1[[#This Row],[average score]],$AE$9:$AG$13,3,TRUE)</f>
        <v xml:space="preserve">Good </v>
      </c>
    </row>
    <row r="383" spans="1:15" x14ac:dyDescent="0.2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t="s">
        <v>417</v>
      </c>
      <c r="J383">
        <f>SUM(Table1[[#This Row],[math score]:[writing score]])</f>
        <v>282</v>
      </c>
      <c r="K383" s="1">
        <f>Table1[[#This Row],[total score]]/3</f>
        <v>94</v>
      </c>
      <c r="L383" s="6" t="str">
        <f>VLOOKUP(Table1[[#This Row],[average score]],$AE$9:$AF$13,2,TRUE)</f>
        <v>A</v>
      </c>
      <c r="M3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383" s="2" t="str">
        <f>IF(OR(Table1[[#This Row],[math score]]&lt;$AC$5,Table1[[#This Row],[reading score]]&lt;$AC$5,Table1[[#This Row],[writing score]]&lt;$AC$5), "Failed atleast one", "Passed all")</f>
        <v>Passed all</v>
      </c>
      <c r="O383" t="str">
        <f>VLOOKUP(Table1[[#This Row],[average score]],$AE$9:$AG$13,3,TRUE)</f>
        <v>Outstanding</v>
      </c>
    </row>
    <row r="384" spans="1:15" x14ac:dyDescent="0.2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t="s">
        <v>418</v>
      </c>
      <c r="J384">
        <f>SUM(Table1[[#This Row],[math score]:[writing score]])</f>
        <v>231</v>
      </c>
      <c r="K384" s="1">
        <f>Table1[[#This Row],[total score]]/3</f>
        <v>77</v>
      </c>
      <c r="L384" s="6" t="str">
        <f>VLOOKUP(Table1[[#This Row],[average score]],$AE$9:$AF$13,2,TRUE)</f>
        <v>C</v>
      </c>
      <c r="M3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84" s="2" t="str">
        <f>IF(OR(Table1[[#This Row],[math score]]&lt;$AC$5,Table1[[#This Row],[reading score]]&lt;$AC$5,Table1[[#This Row],[writing score]]&lt;$AC$5), "Failed atleast one", "Passed all")</f>
        <v>Passed all</v>
      </c>
      <c r="O384" t="str">
        <f>VLOOKUP(Table1[[#This Row],[average score]],$AE$9:$AG$13,3,TRUE)</f>
        <v>Satisfactory</v>
      </c>
    </row>
    <row r="385" spans="1:15" x14ac:dyDescent="0.2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t="s">
        <v>419</v>
      </c>
      <c r="J385">
        <f>SUM(Table1[[#This Row],[math score]:[writing score]])</f>
        <v>132</v>
      </c>
      <c r="K385" s="1">
        <f>Table1[[#This Row],[total score]]/3</f>
        <v>44</v>
      </c>
      <c r="L385" s="6" t="str">
        <f>VLOOKUP(Table1[[#This Row],[average score]],$AE$9:$AF$13,2,TRUE)</f>
        <v>F</v>
      </c>
      <c r="M3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85" s="2" t="str">
        <f>IF(OR(Table1[[#This Row],[math score]]&lt;$AC$5,Table1[[#This Row],[reading score]]&lt;$AC$5,Table1[[#This Row],[writing score]]&lt;$AC$5), "Failed atleast one", "Passed all")</f>
        <v>Failed atleast one</v>
      </c>
      <c r="O385" t="str">
        <f>VLOOKUP(Table1[[#This Row],[average score]],$AE$9:$AG$13,3,TRUE)</f>
        <v>Poor</v>
      </c>
    </row>
    <row r="386" spans="1:15" x14ac:dyDescent="0.2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t="s">
        <v>420</v>
      </c>
      <c r="J386">
        <f>SUM(Table1[[#This Row],[math score]:[writing score]])</f>
        <v>124</v>
      </c>
      <c r="K386" s="1">
        <f>Table1[[#This Row],[total score]]/3</f>
        <v>41.333333333333336</v>
      </c>
      <c r="L386" s="6" t="str">
        <f>VLOOKUP(Table1[[#This Row],[average score]],$AE$9:$AF$13,2,TRUE)</f>
        <v>F</v>
      </c>
      <c r="M3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86" s="2" t="str">
        <f>IF(OR(Table1[[#This Row],[math score]]&lt;$AC$5,Table1[[#This Row],[reading score]]&lt;$AC$5,Table1[[#This Row],[writing score]]&lt;$AC$5), "Failed atleast one", "Passed all")</f>
        <v>Failed atleast one</v>
      </c>
      <c r="O386" t="str">
        <f>VLOOKUP(Table1[[#This Row],[average score]],$AE$9:$AG$13,3,TRUE)</f>
        <v>Poor</v>
      </c>
    </row>
    <row r="387" spans="1:15" x14ac:dyDescent="0.2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t="s">
        <v>421</v>
      </c>
      <c r="J387">
        <f>SUM(Table1[[#This Row],[math score]:[writing score]])</f>
        <v>218</v>
      </c>
      <c r="K387" s="1">
        <f>Table1[[#This Row],[total score]]/3</f>
        <v>72.666666666666671</v>
      </c>
      <c r="L387" s="6" t="str">
        <f>VLOOKUP(Table1[[#This Row],[average score]],$AE$9:$AF$13,2,TRUE)</f>
        <v>C</v>
      </c>
      <c r="M3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87" s="2" t="str">
        <f>IF(OR(Table1[[#This Row],[math score]]&lt;$AC$5,Table1[[#This Row],[reading score]]&lt;$AC$5,Table1[[#This Row],[writing score]]&lt;$AC$5), "Failed atleast one", "Passed all")</f>
        <v>Passed all</v>
      </c>
      <c r="O387" t="str">
        <f>VLOOKUP(Table1[[#This Row],[average score]],$AE$9:$AG$13,3,TRUE)</f>
        <v>Satisfactory</v>
      </c>
    </row>
    <row r="388" spans="1:15" x14ac:dyDescent="0.2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t="s">
        <v>422</v>
      </c>
      <c r="J388">
        <f>SUM(Table1[[#This Row],[math score]:[writing score]])</f>
        <v>207</v>
      </c>
      <c r="K388" s="1">
        <f>Table1[[#This Row],[total score]]/3</f>
        <v>69</v>
      </c>
      <c r="L388" s="6" t="str">
        <f>VLOOKUP(Table1[[#This Row],[average score]],$AE$9:$AF$13,2,TRUE)</f>
        <v>D</v>
      </c>
      <c r="M3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88" s="2" t="str">
        <f>IF(OR(Table1[[#This Row],[math score]]&lt;$AC$5,Table1[[#This Row],[reading score]]&lt;$AC$5,Table1[[#This Row],[writing score]]&lt;$AC$5), "Failed atleast one", "Passed all")</f>
        <v>Passed all</v>
      </c>
      <c r="O388" t="str">
        <f>VLOOKUP(Table1[[#This Row],[average score]],$AE$9:$AG$13,3,TRUE)</f>
        <v>Needs improvements</v>
      </c>
    </row>
    <row r="389" spans="1:15" x14ac:dyDescent="0.2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t="s">
        <v>423</v>
      </c>
      <c r="J389">
        <f>SUM(Table1[[#This Row],[math score]:[writing score]])</f>
        <v>202</v>
      </c>
      <c r="K389" s="1">
        <f>Table1[[#This Row],[total score]]/3</f>
        <v>67.333333333333329</v>
      </c>
      <c r="L389" s="6" t="str">
        <f>VLOOKUP(Table1[[#This Row],[average score]],$AE$9:$AF$13,2,TRUE)</f>
        <v>D</v>
      </c>
      <c r="M3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89" s="2" t="str">
        <f>IF(OR(Table1[[#This Row],[math score]]&lt;$AC$5,Table1[[#This Row],[reading score]]&lt;$AC$5,Table1[[#This Row],[writing score]]&lt;$AC$5), "Failed atleast one", "Passed all")</f>
        <v>Failed atleast one</v>
      </c>
      <c r="O389" t="str">
        <f>VLOOKUP(Table1[[#This Row],[average score]],$AE$9:$AG$13,3,TRUE)</f>
        <v>Needs improvements</v>
      </c>
    </row>
    <row r="390" spans="1:15" x14ac:dyDescent="0.2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t="s">
        <v>424</v>
      </c>
      <c r="J390">
        <f>SUM(Table1[[#This Row],[math score]:[writing score]])</f>
        <v>190</v>
      </c>
      <c r="K390" s="1">
        <f>Table1[[#This Row],[total score]]/3</f>
        <v>63.333333333333336</v>
      </c>
      <c r="L390" s="6" t="str">
        <f>VLOOKUP(Table1[[#This Row],[average score]],$AE$9:$AF$13,2,TRUE)</f>
        <v>D</v>
      </c>
      <c r="M3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90" s="2" t="str">
        <f>IF(OR(Table1[[#This Row],[math score]]&lt;$AC$5,Table1[[#This Row],[reading score]]&lt;$AC$5,Table1[[#This Row],[writing score]]&lt;$AC$5), "Failed atleast one", "Passed all")</f>
        <v>Passed all</v>
      </c>
      <c r="O390" t="str">
        <f>VLOOKUP(Table1[[#This Row],[average score]],$AE$9:$AG$13,3,TRUE)</f>
        <v>Needs improvements</v>
      </c>
    </row>
    <row r="391" spans="1:15" x14ac:dyDescent="0.2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t="s">
        <v>425</v>
      </c>
      <c r="J391">
        <f>SUM(Table1[[#This Row],[math score]:[writing score]])</f>
        <v>218</v>
      </c>
      <c r="K391" s="1">
        <f>Table1[[#This Row],[total score]]/3</f>
        <v>72.666666666666671</v>
      </c>
      <c r="L391" s="6" t="str">
        <f>VLOOKUP(Table1[[#This Row],[average score]],$AE$9:$AF$13,2,TRUE)</f>
        <v>C</v>
      </c>
      <c r="M3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91" s="2" t="str">
        <f>IF(OR(Table1[[#This Row],[math score]]&lt;$AC$5,Table1[[#This Row],[reading score]]&lt;$AC$5,Table1[[#This Row],[writing score]]&lt;$AC$5), "Failed atleast one", "Passed all")</f>
        <v>Passed all</v>
      </c>
      <c r="O391" t="str">
        <f>VLOOKUP(Table1[[#This Row],[average score]],$AE$9:$AG$13,3,TRUE)</f>
        <v>Satisfactory</v>
      </c>
    </row>
    <row r="392" spans="1:15" x14ac:dyDescent="0.2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t="s">
        <v>426</v>
      </c>
      <c r="J392">
        <f>SUM(Table1[[#This Row],[math score]:[writing score]])</f>
        <v>199</v>
      </c>
      <c r="K392" s="1">
        <f>Table1[[#This Row],[total score]]/3</f>
        <v>66.333333333333329</v>
      </c>
      <c r="L392" s="6" t="str">
        <f>VLOOKUP(Table1[[#This Row],[average score]],$AE$9:$AF$13,2,TRUE)</f>
        <v>D</v>
      </c>
      <c r="M3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92" s="2" t="str">
        <f>IF(OR(Table1[[#This Row],[math score]]&lt;$AC$5,Table1[[#This Row],[reading score]]&lt;$AC$5,Table1[[#This Row],[writing score]]&lt;$AC$5), "Failed atleast one", "Passed all")</f>
        <v>Failed atleast one</v>
      </c>
      <c r="O392" t="str">
        <f>VLOOKUP(Table1[[#This Row],[average score]],$AE$9:$AG$13,3,TRUE)</f>
        <v>Needs improvements</v>
      </c>
    </row>
    <row r="393" spans="1:15" x14ac:dyDescent="0.2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t="s">
        <v>427</v>
      </c>
      <c r="J393">
        <f>SUM(Table1[[#This Row],[math score]:[writing score]])</f>
        <v>222</v>
      </c>
      <c r="K393" s="1">
        <f>Table1[[#This Row],[total score]]/3</f>
        <v>74</v>
      </c>
      <c r="L393" s="6" t="str">
        <f>VLOOKUP(Table1[[#This Row],[average score]],$AE$9:$AF$13,2,TRUE)</f>
        <v>C</v>
      </c>
      <c r="M3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93" s="2" t="str">
        <f>IF(OR(Table1[[#This Row],[math score]]&lt;$AC$5,Table1[[#This Row],[reading score]]&lt;$AC$5,Table1[[#This Row],[writing score]]&lt;$AC$5), "Failed atleast one", "Passed all")</f>
        <v>Passed all</v>
      </c>
      <c r="O393" t="str">
        <f>VLOOKUP(Table1[[#This Row],[average score]],$AE$9:$AG$13,3,TRUE)</f>
        <v>Satisfactory</v>
      </c>
    </row>
    <row r="394" spans="1:15" x14ac:dyDescent="0.2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t="s">
        <v>428</v>
      </c>
      <c r="J394">
        <f>SUM(Table1[[#This Row],[math score]:[writing score]])</f>
        <v>210</v>
      </c>
      <c r="K394" s="1">
        <f>Table1[[#This Row],[total score]]/3</f>
        <v>70</v>
      </c>
      <c r="L394" s="6" t="str">
        <f>VLOOKUP(Table1[[#This Row],[average score]],$AE$9:$AF$13,2,TRUE)</f>
        <v>C</v>
      </c>
      <c r="M3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94" s="2" t="str">
        <f>IF(OR(Table1[[#This Row],[math score]]&lt;$AC$5,Table1[[#This Row],[reading score]]&lt;$AC$5,Table1[[#This Row],[writing score]]&lt;$AC$5), "Failed atleast one", "Passed all")</f>
        <v>Passed all</v>
      </c>
      <c r="O394" t="str">
        <f>VLOOKUP(Table1[[#This Row],[average score]],$AE$9:$AG$13,3,TRUE)</f>
        <v>Satisfactory</v>
      </c>
    </row>
    <row r="395" spans="1:15" x14ac:dyDescent="0.2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t="s">
        <v>429</v>
      </c>
      <c r="J395">
        <f>SUM(Table1[[#This Row],[math score]:[writing score]])</f>
        <v>167</v>
      </c>
      <c r="K395" s="1">
        <f>Table1[[#This Row],[total score]]/3</f>
        <v>55.666666666666664</v>
      </c>
      <c r="L395" s="6" t="str">
        <f>VLOOKUP(Table1[[#This Row],[average score]],$AE$9:$AF$13,2,TRUE)</f>
        <v>F</v>
      </c>
      <c r="M3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95" s="2" t="str">
        <f>IF(OR(Table1[[#This Row],[math score]]&lt;$AC$5,Table1[[#This Row],[reading score]]&lt;$AC$5,Table1[[#This Row],[writing score]]&lt;$AC$5), "Failed atleast one", "Passed all")</f>
        <v>Failed atleast one</v>
      </c>
      <c r="O395" t="str">
        <f>VLOOKUP(Table1[[#This Row],[average score]],$AE$9:$AG$13,3,TRUE)</f>
        <v>Poor</v>
      </c>
    </row>
    <row r="396" spans="1:15" x14ac:dyDescent="0.2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t="s">
        <v>430</v>
      </c>
      <c r="J396">
        <f>SUM(Table1[[#This Row],[math score]:[writing score]])</f>
        <v>216</v>
      </c>
      <c r="K396" s="1">
        <f>Table1[[#This Row],[total score]]/3</f>
        <v>72</v>
      </c>
      <c r="L396" s="6" t="str">
        <f>VLOOKUP(Table1[[#This Row],[average score]],$AE$9:$AF$13,2,TRUE)</f>
        <v>C</v>
      </c>
      <c r="M3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396" s="2" t="str">
        <f>IF(OR(Table1[[#This Row],[math score]]&lt;$AC$5,Table1[[#This Row],[reading score]]&lt;$AC$5,Table1[[#This Row],[writing score]]&lt;$AC$5), "Failed atleast one", "Passed all")</f>
        <v>Passed all</v>
      </c>
      <c r="O396" t="str">
        <f>VLOOKUP(Table1[[#This Row],[average score]],$AE$9:$AG$13,3,TRUE)</f>
        <v>Satisfactory</v>
      </c>
    </row>
    <row r="397" spans="1:15" x14ac:dyDescent="0.2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t="s">
        <v>431</v>
      </c>
      <c r="J397">
        <f>SUM(Table1[[#This Row],[math score]:[writing score]])</f>
        <v>134</v>
      </c>
      <c r="K397" s="1">
        <f>Table1[[#This Row],[total score]]/3</f>
        <v>44.666666666666664</v>
      </c>
      <c r="L397" s="6" t="str">
        <f>VLOOKUP(Table1[[#This Row],[average score]],$AE$9:$AF$13,2,TRUE)</f>
        <v>F</v>
      </c>
      <c r="M3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397" s="2" t="str">
        <f>IF(OR(Table1[[#This Row],[math score]]&lt;$AC$5,Table1[[#This Row],[reading score]]&lt;$AC$5,Table1[[#This Row],[writing score]]&lt;$AC$5), "Failed atleast one", "Passed all")</f>
        <v>Failed atleast one</v>
      </c>
      <c r="O397" t="str">
        <f>VLOOKUP(Table1[[#This Row],[average score]],$AE$9:$AG$13,3,TRUE)</f>
        <v>Poor</v>
      </c>
    </row>
    <row r="398" spans="1:15" x14ac:dyDescent="0.2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t="s">
        <v>432</v>
      </c>
      <c r="J398">
        <f>SUM(Table1[[#This Row],[math score]:[writing score]])</f>
        <v>180</v>
      </c>
      <c r="K398" s="1">
        <f>Table1[[#This Row],[total score]]/3</f>
        <v>60</v>
      </c>
      <c r="L398" s="6" t="str">
        <f>VLOOKUP(Table1[[#This Row],[average score]],$AE$9:$AF$13,2,TRUE)</f>
        <v>D</v>
      </c>
      <c r="M3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398" s="2" t="str">
        <f>IF(OR(Table1[[#This Row],[math score]]&lt;$AC$5,Table1[[#This Row],[reading score]]&lt;$AC$5,Table1[[#This Row],[writing score]]&lt;$AC$5), "Failed atleast one", "Passed all")</f>
        <v>Failed atleast one</v>
      </c>
      <c r="O398" t="str">
        <f>VLOOKUP(Table1[[#This Row],[average score]],$AE$9:$AG$13,3,TRUE)</f>
        <v>Needs improvements</v>
      </c>
    </row>
    <row r="399" spans="1:15" x14ac:dyDescent="0.2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t="s">
        <v>433</v>
      </c>
      <c r="J399">
        <f>SUM(Table1[[#This Row],[math score]:[writing score]])</f>
        <v>269</v>
      </c>
      <c r="K399" s="1">
        <f>Table1[[#This Row],[total score]]/3</f>
        <v>89.666666666666671</v>
      </c>
      <c r="L399" s="6" t="str">
        <f>VLOOKUP(Table1[[#This Row],[average score]],$AE$9:$AF$13,2,TRUE)</f>
        <v>B</v>
      </c>
      <c r="M3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399" s="2" t="str">
        <f>IF(OR(Table1[[#This Row],[math score]]&lt;$AC$5,Table1[[#This Row],[reading score]]&lt;$AC$5,Table1[[#This Row],[writing score]]&lt;$AC$5), "Failed atleast one", "Passed all")</f>
        <v>Passed all</v>
      </c>
      <c r="O399" t="str">
        <f>VLOOKUP(Table1[[#This Row],[average score]],$AE$9:$AG$13,3,TRUE)</f>
        <v xml:space="preserve">Good </v>
      </c>
    </row>
    <row r="400" spans="1:15" x14ac:dyDescent="0.2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t="s">
        <v>434</v>
      </c>
      <c r="J400">
        <f>SUM(Table1[[#This Row],[math score]:[writing score]])</f>
        <v>194</v>
      </c>
      <c r="K400" s="1">
        <f>Table1[[#This Row],[total score]]/3</f>
        <v>64.666666666666671</v>
      </c>
      <c r="L400" s="6" t="str">
        <f>VLOOKUP(Table1[[#This Row],[average score]],$AE$9:$AF$13,2,TRUE)</f>
        <v>D</v>
      </c>
      <c r="M4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00" s="2" t="str">
        <f>IF(OR(Table1[[#This Row],[math score]]&lt;$AC$5,Table1[[#This Row],[reading score]]&lt;$AC$5,Table1[[#This Row],[writing score]]&lt;$AC$5), "Failed atleast one", "Passed all")</f>
        <v>Failed atleast one</v>
      </c>
      <c r="O400" t="str">
        <f>VLOOKUP(Table1[[#This Row],[average score]],$AE$9:$AG$13,3,TRUE)</f>
        <v>Needs improvements</v>
      </c>
    </row>
    <row r="401" spans="1:15" x14ac:dyDescent="0.2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t="s">
        <v>435</v>
      </c>
      <c r="J401">
        <f>SUM(Table1[[#This Row],[math score]:[writing score]])</f>
        <v>173</v>
      </c>
      <c r="K401" s="1">
        <f>Table1[[#This Row],[total score]]/3</f>
        <v>57.666666666666664</v>
      </c>
      <c r="L401" s="6" t="str">
        <f>VLOOKUP(Table1[[#This Row],[average score]],$AE$9:$AF$13,2,TRUE)</f>
        <v>F</v>
      </c>
      <c r="M4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01" s="2" t="str">
        <f>IF(OR(Table1[[#This Row],[math score]]&lt;$AC$5,Table1[[#This Row],[reading score]]&lt;$AC$5,Table1[[#This Row],[writing score]]&lt;$AC$5), "Failed atleast one", "Passed all")</f>
        <v>Failed atleast one</v>
      </c>
      <c r="O401" t="str">
        <f>VLOOKUP(Table1[[#This Row],[average score]],$AE$9:$AG$13,3,TRUE)</f>
        <v>Poor</v>
      </c>
    </row>
    <row r="402" spans="1:15" x14ac:dyDescent="0.2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t="s">
        <v>436</v>
      </c>
      <c r="J402">
        <f>SUM(Table1[[#This Row],[math score]:[writing score]])</f>
        <v>180</v>
      </c>
      <c r="K402" s="1">
        <f>Table1[[#This Row],[total score]]/3</f>
        <v>60</v>
      </c>
      <c r="L402" s="6" t="str">
        <f>VLOOKUP(Table1[[#This Row],[average score]],$AE$9:$AF$13,2,TRUE)</f>
        <v>D</v>
      </c>
      <c r="M4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02" s="2" t="str">
        <f>IF(OR(Table1[[#This Row],[math score]]&lt;$AC$5,Table1[[#This Row],[reading score]]&lt;$AC$5,Table1[[#This Row],[writing score]]&lt;$AC$5), "Failed atleast one", "Passed all")</f>
        <v>Failed atleast one</v>
      </c>
      <c r="O402" t="str">
        <f>VLOOKUP(Table1[[#This Row],[average score]],$AE$9:$AG$13,3,TRUE)</f>
        <v>Needs improvements</v>
      </c>
    </row>
    <row r="403" spans="1:15" x14ac:dyDescent="0.2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t="s">
        <v>437</v>
      </c>
      <c r="J403">
        <f>SUM(Table1[[#This Row],[math score]:[writing score]])</f>
        <v>139</v>
      </c>
      <c r="K403" s="1">
        <f>Table1[[#This Row],[total score]]/3</f>
        <v>46.333333333333336</v>
      </c>
      <c r="L403" s="6" t="str">
        <f>VLOOKUP(Table1[[#This Row],[average score]],$AE$9:$AF$13,2,TRUE)</f>
        <v>F</v>
      </c>
      <c r="M4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03" s="2" t="str">
        <f>IF(OR(Table1[[#This Row],[math score]]&lt;$AC$5,Table1[[#This Row],[reading score]]&lt;$AC$5,Table1[[#This Row],[writing score]]&lt;$AC$5), "Failed atleast one", "Passed all")</f>
        <v>Failed atleast one</v>
      </c>
      <c r="O403" t="str">
        <f>VLOOKUP(Table1[[#This Row],[average score]],$AE$9:$AG$13,3,TRUE)</f>
        <v>Poor</v>
      </c>
    </row>
    <row r="404" spans="1:15" x14ac:dyDescent="0.2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t="s">
        <v>438</v>
      </c>
      <c r="J404">
        <f>SUM(Table1[[#This Row],[math score]:[writing score]])</f>
        <v>169</v>
      </c>
      <c r="K404" s="1">
        <f>Table1[[#This Row],[total score]]/3</f>
        <v>56.333333333333336</v>
      </c>
      <c r="L404" s="6" t="str">
        <f>VLOOKUP(Table1[[#This Row],[average score]],$AE$9:$AF$13,2,TRUE)</f>
        <v>F</v>
      </c>
      <c r="M4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04" s="2" t="str">
        <f>IF(OR(Table1[[#This Row],[math score]]&lt;$AC$5,Table1[[#This Row],[reading score]]&lt;$AC$5,Table1[[#This Row],[writing score]]&lt;$AC$5), "Failed atleast one", "Passed all")</f>
        <v>Failed atleast one</v>
      </c>
      <c r="O404" t="str">
        <f>VLOOKUP(Table1[[#This Row],[average score]],$AE$9:$AG$13,3,TRUE)</f>
        <v>Poor</v>
      </c>
    </row>
    <row r="405" spans="1:15" x14ac:dyDescent="0.2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t="s">
        <v>439</v>
      </c>
      <c r="J405">
        <f>SUM(Table1[[#This Row],[math score]:[writing score]])</f>
        <v>287</v>
      </c>
      <c r="K405" s="1">
        <f>Table1[[#This Row],[total score]]/3</f>
        <v>95.666666666666671</v>
      </c>
      <c r="L405" s="6" t="str">
        <f>VLOOKUP(Table1[[#This Row],[average score]],$AE$9:$AF$13,2,TRUE)</f>
        <v>A</v>
      </c>
      <c r="M4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405" s="2" t="str">
        <f>IF(OR(Table1[[#This Row],[math score]]&lt;$AC$5,Table1[[#This Row],[reading score]]&lt;$AC$5,Table1[[#This Row],[writing score]]&lt;$AC$5), "Failed atleast one", "Passed all")</f>
        <v>Passed all</v>
      </c>
      <c r="O405" t="str">
        <f>VLOOKUP(Table1[[#This Row],[average score]],$AE$9:$AG$13,3,TRUE)</f>
        <v>Outstanding</v>
      </c>
    </row>
    <row r="406" spans="1:15" x14ac:dyDescent="0.2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t="s">
        <v>440</v>
      </c>
      <c r="J406">
        <f>SUM(Table1[[#This Row],[math score]:[writing score]])</f>
        <v>175</v>
      </c>
      <c r="K406" s="1">
        <f>Table1[[#This Row],[total score]]/3</f>
        <v>58.333333333333336</v>
      </c>
      <c r="L406" s="6" t="str">
        <f>VLOOKUP(Table1[[#This Row],[average score]],$AE$9:$AF$13,2,TRUE)</f>
        <v>F</v>
      </c>
      <c r="M4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06" s="2" t="str">
        <f>IF(OR(Table1[[#This Row],[math score]]&lt;$AC$5,Table1[[#This Row],[reading score]]&lt;$AC$5,Table1[[#This Row],[writing score]]&lt;$AC$5), "Failed atleast one", "Passed all")</f>
        <v>Failed atleast one</v>
      </c>
      <c r="O406" t="str">
        <f>VLOOKUP(Table1[[#This Row],[average score]],$AE$9:$AG$13,3,TRUE)</f>
        <v>Poor</v>
      </c>
    </row>
    <row r="407" spans="1:15" x14ac:dyDescent="0.2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t="s">
        <v>441</v>
      </c>
      <c r="J407">
        <f>SUM(Table1[[#This Row],[math score]:[writing score]])</f>
        <v>204</v>
      </c>
      <c r="K407" s="1">
        <f>Table1[[#This Row],[total score]]/3</f>
        <v>68</v>
      </c>
      <c r="L407" s="6" t="str">
        <f>VLOOKUP(Table1[[#This Row],[average score]],$AE$9:$AF$13,2,TRUE)</f>
        <v>D</v>
      </c>
      <c r="M4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07" s="2" t="str">
        <f>IF(OR(Table1[[#This Row],[math score]]&lt;$AC$5,Table1[[#This Row],[reading score]]&lt;$AC$5,Table1[[#This Row],[writing score]]&lt;$AC$5), "Failed atleast one", "Passed all")</f>
        <v>Passed all</v>
      </c>
      <c r="O407" t="str">
        <f>VLOOKUP(Table1[[#This Row],[average score]],$AE$9:$AG$13,3,TRUE)</f>
        <v>Needs improvements</v>
      </c>
    </row>
    <row r="408" spans="1:15" x14ac:dyDescent="0.2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t="s">
        <v>442</v>
      </c>
      <c r="J408">
        <f>SUM(Table1[[#This Row],[math score]:[writing score]])</f>
        <v>193</v>
      </c>
      <c r="K408" s="1">
        <f>Table1[[#This Row],[total score]]/3</f>
        <v>64.333333333333329</v>
      </c>
      <c r="L408" s="6" t="str">
        <f>VLOOKUP(Table1[[#This Row],[average score]],$AE$9:$AF$13,2,TRUE)</f>
        <v>D</v>
      </c>
      <c r="M4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08" s="2" t="str">
        <f>IF(OR(Table1[[#This Row],[math score]]&lt;$AC$5,Table1[[#This Row],[reading score]]&lt;$AC$5,Table1[[#This Row],[writing score]]&lt;$AC$5), "Failed atleast one", "Passed all")</f>
        <v>Passed all</v>
      </c>
      <c r="O408" t="str">
        <f>VLOOKUP(Table1[[#This Row],[average score]],$AE$9:$AG$13,3,TRUE)</f>
        <v>Needs improvements</v>
      </c>
    </row>
    <row r="409" spans="1:15" x14ac:dyDescent="0.2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t="s">
        <v>443</v>
      </c>
      <c r="J409">
        <f>SUM(Table1[[#This Row],[math score]:[writing score]])</f>
        <v>239</v>
      </c>
      <c r="K409" s="1">
        <f>Table1[[#This Row],[total score]]/3</f>
        <v>79.666666666666671</v>
      </c>
      <c r="L409" s="6" t="str">
        <f>VLOOKUP(Table1[[#This Row],[average score]],$AE$9:$AF$13,2,TRUE)</f>
        <v>C</v>
      </c>
      <c r="M4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09" s="2" t="str">
        <f>IF(OR(Table1[[#This Row],[math score]]&lt;$AC$5,Table1[[#This Row],[reading score]]&lt;$AC$5,Table1[[#This Row],[writing score]]&lt;$AC$5), "Failed atleast one", "Passed all")</f>
        <v>Passed all</v>
      </c>
      <c r="O409" t="str">
        <f>VLOOKUP(Table1[[#This Row],[average score]],$AE$9:$AG$13,3,TRUE)</f>
        <v>Satisfactory</v>
      </c>
    </row>
    <row r="410" spans="1:15" x14ac:dyDescent="0.2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t="s">
        <v>444</v>
      </c>
      <c r="J410">
        <f>SUM(Table1[[#This Row],[math score]:[writing score]])</f>
        <v>165</v>
      </c>
      <c r="K410" s="1">
        <f>Table1[[#This Row],[total score]]/3</f>
        <v>55</v>
      </c>
      <c r="L410" s="6" t="str">
        <f>VLOOKUP(Table1[[#This Row],[average score]],$AE$9:$AF$13,2,TRUE)</f>
        <v>F</v>
      </c>
      <c r="M4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10" s="2" t="str">
        <f>IF(OR(Table1[[#This Row],[math score]]&lt;$AC$5,Table1[[#This Row],[reading score]]&lt;$AC$5,Table1[[#This Row],[writing score]]&lt;$AC$5), "Failed atleast one", "Passed all")</f>
        <v>Failed atleast one</v>
      </c>
      <c r="O410" t="str">
        <f>VLOOKUP(Table1[[#This Row],[average score]],$AE$9:$AG$13,3,TRUE)</f>
        <v>Poor</v>
      </c>
    </row>
    <row r="411" spans="1:15" x14ac:dyDescent="0.2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t="s">
        <v>445</v>
      </c>
      <c r="J411">
        <f>SUM(Table1[[#This Row],[math score]:[writing score]])</f>
        <v>256</v>
      </c>
      <c r="K411" s="1">
        <f>Table1[[#This Row],[total score]]/3</f>
        <v>85.333333333333329</v>
      </c>
      <c r="L411" s="6" t="str">
        <f>VLOOKUP(Table1[[#This Row],[average score]],$AE$9:$AF$13,2,TRUE)</f>
        <v>B</v>
      </c>
      <c r="M4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11" s="2" t="str">
        <f>IF(OR(Table1[[#This Row],[math score]]&lt;$AC$5,Table1[[#This Row],[reading score]]&lt;$AC$5,Table1[[#This Row],[writing score]]&lt;$AC$5), "Failed atleast one", "Passed all")</f>
        <v>Passed all</v>
      </c>
      <c r="O411" t="str">
        <f>VLOOKUP(Table1[[#This Row],[average score]],$AE$9:$AG$13,3,TRUE)</f>
        <v xml:space="preserve">Good </v>
      </c>
    </row>
    <row r="412" spans="1:15" x14ac:dyDescent="0.2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t="s">
        <v>446</v>
      </c>
      <c r="J412">
        <f>SUM(Table1[[#This Row],[math score]:[writing score]])</f>
        <v>215</v>
      </c>
      <c r="K412" s="1">
        <f>Table1[[#This Row],[total score]]/3</f>
        <v>71.666666666666671</v>
      </c>
      <c r="L412" s="6" t="str">
        <f>VLOOKUP(Table1[[#This Row],[average score]],$AE$9:$AF$13,2,TRUE)</f>
        <v>C</v>
      </c>
      <c r="M4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12" s="2" t="str">
        <f>IF(OR(Table1[[#This Row],[math score]]&lt;$AC$5,Table1[[#This Row],[reading score]]&lt;$AC$5,Table1[[#This Row],[writing score]]&lt;$AC$5), "Failed atleast one", "Passed all")</f>
        <v>Passed all</v>
      </c>
      <c r="O412" t="str">
        <f>VLOOKUP(Table1[[#This Row],[average score]],$AE$9:$AG$13,3,TRUE)</f>
        <v>Satisfactory</v>
      </c>
    </row>
    <row r="413" spans="1:15" x14ac:dyDescent="0.2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t="s">
        <v>447</v>
      </c>
      <c r="J413">
        <f>SUM(Table1[[#This Row],[math score]:[writing score]])</f>
        <v>245</v>
      </c>
      <c r="K413" s="1">
        <f>Table1[[#This Row],[total score]]/3</f>
        <v>81.666666666666671</v>
      </c>
      <c r="L413" s="6" t="str">
        <f>VLOOKUP(Table1[[#This Row],[average score]],$AE$9:$AF$13,2,TRUE)</f>
        <v>B</v>
      </c>
      <c r="M4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13" s="2" t="str">
        <f>IF(OR(Table1[[#This Row],[math score]]&lt;$AC$5,Table1[[#This Row],[reading score]]&lt;$AC$5,Table1[[#This Row],[writing score]]&lt;$AC$5), "Failed atleast one", "Passed all")</f>
        <v>Passed all</v>
      </c>
      <c r="O413" t="str">
        <f>VLOOKUP(Table1[[#This Row],[average score]],$AE$9:$AG$13,3,TRUE)</f>
        <v xml:space="preserve">Good </v>
      </c>
    </row>
    <row r="414" spans="1:15" x14ac:dyDescent="0.2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t="s">
        <v>448</v>
      </c>
      <c r="J414">
        <f>SUM(Table1[[#This Row],[math score]:[writing score]])</f>
        <v>197</v>
      </c>
      <c r="K414" s="1">
        <f>Table1[[#This Row],[total score]]/3</f>
        <v>65.666666666666671</v>
      </c>
      <c r="L414" s="6" t="str">
        <f>VLOOKUP(Table1[[#This Row],[average score]],$AE$9:$AF$13,2,TRUE)</f>
        <v>D</v>
      </c>
      <c r="M4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14" s="2" t="str">
        <f>IF(OR(Table1[[#This Row],[math score]]&lt;$AC$5,Table1[[#This Row],[reading score]]&lt;$AC$5,Table1[[#This Row],[writing score]]&lt;$AC$5), "Failed atleast one", "Passed all")</f>
        <v>Passed all</v>
      </c>
      <c r="O414" t="str">
        <f>VLOOKUP(Table1[[#This Row],[average score]],$AE$9:$AG$13,3,TRUE)</f>
        <v>Needs improvements</v>
      </c>
    </row>
    <row r="415" spans="1:15" x14ac:dyDescent="0.2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t="s">
        <v>449</v>
      </c>
      <c r="J415">
        <f>SUM(Table1[[#This Row],[math score]:[writing score]])</f>
        <v>197</v>
      </c>
      <c r="K415" s="1">
        <f>Table1[[#This Row],[total score]]/3</f>
        <v>65.666666666666671</v>
      </c>
      <c r="L415" s="6" t="str">
        <f>VLOOKUP(Table1[[#This Row],[average score]],$AE$9:$AF$13,2,TRUE)</f>
        <v>D</v>
      </c>
      <c r="M4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15" s="2" t="str">
        <f>IF(OR(Table1[[#This Row],[math score]]&lt;$AC$5,Table1[[#This Row],[reading score]]&lt;$AC$5,Table1[[#This Row],[writing score]]&lt;$AC$5), "Failed atleast one", "Passed all")</f>
        <v>Passed all</v>
      </c>
      <c r="O415" t="str">
        <f>VLOOKUP(Table1[[#This Row],[average score]],$AE$9:$AG$13,3,TRUE)</f>
        <v>Needs improvements</v>
      </c>
    </row>
    <row r="416" spans="1:15" x14ac:dyDescent="0.2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t="s">
        <v>450</v>
      </c>
      <c r="J416">
        <f>SUM(Table1[[#This Row],[math score]:[writing score]])</f>
        <v>202</v>
      </c>
      <c r="K416" s="1">
        <f>Table1[[#This Row],[total score]]/3</f>
        <v>67.333333333333329</v>
      </c>
      <c r="L416" s="6" t="str">
        <f>VLOOKUP(Table1[[#This Row],[average score]],$AE$9:$AF$13,2,TRUE)</f>
        <v>D</v>
      </c>
      <c r="M4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16" s="2" t="str">
        <f>IF(OR(Table1[[#This Row],[math score]]&lt;$AC$5,Table1[[#This Row],[reading score]]&lt;$AC$5,Table1[[#This Row],[writing score]]&lt;$AC$5), "Failed atleast one", "Passed all")</f>
        <v>Failed atleast one</v>
      </c>
      <c r="O416" t="str">
        <f>VLOOKUP(Table1[[#This Row],[average score]],$AE$9:$AG$13,3,TRUE)</f>
        <v>Needs improvements</v>
      </c>
    </row>
    <row r="417" spans="1:15" x14ac:dyDescent="0.2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t="s">
        <v>451</v>
      </c>
      <c r="J417">
        <f>SUM(Table1[[#This Row],[math score]:[writing score]])</f>
        <v>226</v>
      </c>
      <c r="K417" s="1">
        <f>Table1[[#This Row],[total score]]/3</f>
        <v>75.333333333333329</v>
      </c>
      <c r="L417" s="6" t="str">
        <f>VLOOKUP(Table1[[#This Row],[average score]],$AE$9:$AF$13,2,TRUE)</f>
        <v>C</v>
      </c>
      <c r="M4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17" s="2" t="str">
        <f>IF(OR(Table1[[#This Row],[math score]]&lt;$AC$5,Table1[[#This Row],[reading score]]&lt;$AC$5,Table1[[#This Row],[writing score]]&lt;$AC$5), "Failed atleast one", "Passed all")</f>
        <v>Passed all</v>
      </c>
      <c r="O417" t="str">
        <f>VLOOKUP(Table1[[#This Row],[average score]],$AE$9:$AG$13,3,TRUE)</f>
        <v>Satisfactory</v>
      </c>
    </row>
    <row r="418" spans="1:15" x14ac:dyDescent="0.2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t="s">
        <v>452</v>
      </c>
      <c r="J418">
        <f>SUM(Table1[[#This Row],[math score]:[writing score]])</f>
        <v>213</v>
      </c>
      <c r="K418" s="1">
        <f>Table1[[#This Row],[total score]]/3</f>
        <v>71</v>
      </c>
      <c r="L418" s="6" t="str">
        <f>VLOOKUP(Table1[[#This Row],[average score]],$AE$9:$AF$13,2,TRUE)</f>
        <v>C</v>
      </c>
      <c r="M4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18" s="2" t="str">
        <f>IF(OR(Table1[[#This Row],[math score]]&lt;$AC$5,Table1[[#This Row],[reading score]]&lt;$AC$5,Table1[[#This Row],[writing score]]&lt;$AC$5), "Failed atleast one", "Passed all")</f>
        <v>Passed all</v>
      </c>
      <c r="O418" t="str">
        <f>VLOOKUP(Table1[[#This Row],[average score]],$AE$9:$AG$13,3,TRUE)</f>
        <v>Satisfactory</v>
      </c>
    </row>
    <row r="419" spans="1:15" x14ac:dyDescent="0.2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t="s">
        <v>453</v>
      </c>
      <c r="J419">
        <f>SUM(Table1[[#This Row],[math score]:[writing score]])</f>
        <v>214</v>
      </c>
      <c r="K419" s="1">
        <f>Table1[[#This Row],[total score]]/3</f>
        <v>71.333333333333329</v>
      </c>
      <c r="L419" s="6" t="str">
        <f>VLOOKUP(Table1[[#This Row],[average score]],$AE$9:$AF$13,2,TRUE)</f>
        <v>C</v>
      </c>
      <c r="M4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19" s="2" t="str">
        <f>IF(OR(Table1[[#This Row],[math score]]&lt;$AC$5,Table1[[#This Row],[reading score]]&lt;$AC$5,Table1[[#This Row],[writing score]]&lt;$AC$5), "Failed atleast one", "Passed all")</f>
        <v>Passed all</v>
      </c>
      <c r="O419" t="str">
        <f>VLOOKUP(Table1[[#This Row],[average score]],$AE$9:$AG$13,3,TRUE)</f>
        <v>Satisfactory</v>
      </c>
    </row>
    <row r="420" spans="1:15" x14ac:dyDescent="0.2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t="s">
        <v>454</v>
      </c>
      <c r="J420">
        <f>SUM(Table1[[#This Row],[math score]:[writing score]])</f>
        <v>189</v>
      </c>
      <c r="K420" s="1">
        <f>Table1[[#This Row],[total score]]/3</f>
        <v>63</v>
      </c>
      <c r="L420" s="6" t="str">
        <f>VLOOKUP(Table1[[#This Row],[average score]],$AE$9:$AF$13,2,TRUE)</f>
        <v>D</v>
      </c>
      <c r="M4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20" s="2" t="str">
        <f>IF(OR(Table1[[#This Row],[math score]]&lt;$AC$5,Table1[[#This Row],[reading score]]&lt;$AC$5,Table1[[#This Row],[writing score]]&lt;$AC$5), "Failed atleast one", "Passed all")</f>
        <v>Failed atleast one</v>
      </c>
      <c r="O420" t="str">
        <f>VLOOKUP(Table1[[#This Row],[average score]],$AE$9:$AG$13,3,TRUE)</f>
        <v>Needs improvements</v>
      </c>
    </row>
    <row r="421" spans="1:15" x14ac:dyDescent="0.2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t="s">
        <v>455</v>
      </c>
      <c r="J421">
        <f>SUM(Table1[[#This Row],[math score]:[writing score]])</f>
        <v>167</v>
      </c>
      <c r="K421" s="1">
        <f>Table1[[#This Row],[total score]]/3</f>
        <v>55.666666666666664</v>
      </c>
      <c r="L421" s="6" t="str">
        <f>VLOOKUP(Table1[[#This Row],[average score]],$AE$9:$AF$13,2,TRUE)</f>
        <v>F</v>
      </c>
      <c r="M4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21" s="2" t="str">
        <f>IF(OR(Table1[[#This Row],[math score]]&lt;$AC$5,Table1[[#This Row],[reading score]]&lt;$AC$5,Table1[[#This Row],[writing score]]&lt;$AC$5), "Failed atleast one", "Passed all")</f>
        <v>Failed atleast one</v>
      </c>
      <c r="O421" t="str">
        <f>VLOOKUP(Table1[[#This Row],[average score]],$AE$9:$AG$13,3,TRUE)</f>
        <v>Poor</v>
      </c>
    </row>
    <row r="422" spans="1:15" x14ac:dyDescent="0.2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t="s">
        <v>456</v>
      </c>
      <c r="J422">
        <f>SUM(Table1[[#This Row],[math score]:[writing score]])</f>
        <v>268</v>
      </c>
      <c r="K422" s="1">
        <f>Table1[[#This Row],[total score]]/3</f>
        <v>89.333333333333329</v>
      </c>
      <c r="L422" s="6" t="str">
        <f>VLOOKUP(Table1[[#This Row],[average score]],$AE$9:$AF$13,2,TRUE)</f>
        <v>B</v>
      </c>
      <c r="M4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22" s="2" t="str">
        <f>IF(OR(Table1[[#This Row],[math score]]&lt;$AC$5,Table1[[#This Row],[reading score]]&lt;$AC$5,Table1[[#This Row],[writing score]]&lt;$AC$5), "Failed atleast one", "Passed all")</f>
        <v>Passed all</v>
      </c>
      <c r="O422" t="str">
        <f>VLOOKUP(Table1[[#This Row],[average score]],$AE$9:$AG$13,3,TRUE)</f>
        <v xml:space="preserve">Good </v>
      </c>
    </row>
    <row r="423" spans="1:15" x14ac:dyDescent="0.2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t="s">
        <v>457</v>
      </c>
      <c r="J423">
        <f>SUM(Table1[[#This Row],[math score]:[writing score]])</f>
        <v>179</v>
      </c>
      <c r="K423" s="1">
        <f>Table1[[#This Row],[total score]]/3</f>
        <v>59.666666666666664</v>
      </c>
      <c r="L423" s="6" t="str">
        <f>VLOOKUP(Table1[[#This Row],[average score]],$AE$9:$AF$13,2,TRUE)</f>
        <v>F</v>
      </c>
      <c r="M4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23" s="2" t="str">
        <f>IF(OR(Table1[[#This Row],[math score]]&lt;$AC$5,Table1[[#This Row],[reading score]]&lt;$AC$5,Table1[[#This Row],[writing score]]&lt;$AC$5), "Failed atleast one", "Passed all")</f>
        <v>Failed atleast one</v>
      </c>
      <c r="O423" t="str">
        <f>VLOOKUP(Table1[[#This Row],[average score]],$AE$9:$AG$13,3,TRUE)</f>
        <v>Poor</v>
      </c>
    </row>
    <row r="424" spans="1:15" x14ac:dyDescent="0.2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t="s">
        <v>458</v>
      </c>
      <c r="J424">
        <f>SUM(Table1[[#This Row],[math score]:[writing score]])</f>
        <v>172</v>
      </c>
      <c r="K424" s="1">
        <f>Table1[[#This Row],[total score]]/3</f>
        <v>57.333333333333336</v>
      </c>
      <c r="L424" s="6" t="str">
        <f>VLOOKUP(Table1[[#This Row],[average score]],$AE$9:$AF$13,2,TRUE)</f>
        <v>F</v>
      </c>
      <c r="M4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24" s="2" t="str">
        <f>IF(OR(Table1[[#This Row],[math score]]&lt;$AC$5,Table1[[#This Row],[reading score]]&lt;$AC$5,Table1[[#This Row],[writing score]]&lt;$AC$5), "Failed atleast one", "Passed all")</f>
        <v>Failed atleast one</v>
      </c>
      <c r="O424" t="str">
        <f>VLOOKUP(Table1[[#This Row],[average score]],$AE$9:$AG$13,3,TRUE)</f>
        <v>Poor</v>
      </c>
    </row>
    <row r="425" spans="1:15" x14ac:dyDescent="0.2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t="s">
        <v>459</v>
      </c>
      <c r="J425">
        <f>SUM(Table1[[#This Row],[math score]:[writing score]])</f>
        <v>224</v>
      </c>
      <c r="K425" s="1">
        <f>Table1[[#This Row],[total score]]/3</f>
        <v>74.666666666666671</v>
      </c>
      <c r="L425" s="6" t="str">
        <f>VLOOKUP(Table1[[#This Row],[average score]],$AE$9:$AF$13,2,TRUE)</f>
        <v>C</v>
      </c>
      <c r="M4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25" s="2" t="str">
        <f>IF(OR(Table1[[#This Row],[math score]]&lt;$AC$5,Table1[[#This Row],[reading score]]&lt;$AC$5,Table1[[#This Row],[writing score]]&lt;$AC$5), "Failed atleast one", "Passed all")</f>
        <v>Failed atleast one</v>
      </c>
      <c r="O425" t="str">
        <f>VLOOKUP(Table1[[#This Row],[average score]],$AE$9:$AG$13,3,TRUE)</f>
        <v>Satisfactory</v>
      </c>
    </row>
    <row r="426" spans="1:15" x14ac:dyDescent="0.2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t="s">
        <v>460</v>
      </c>
      <c r="J426">
        <f>SUM(Table1[[#This Row],[math score]:[writing score]])</f>
        <v>114</v>
      </c>
      <c r="K426" s="1">
        <f>Table1[[#This Row],[total score]]/3</f>
        <v>38</v>
      </c>
      <c r="L426" s="6" t="str">
        <f>VLOOKUP(Table1[[#This Row],[average score]],$AE$9:$AF$13,2,TRUE)</f>
        <v>F</v>
      </c>
      <c r="M4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26" s="2" t="str">
        <f>IF(OR(Table1[[#This Row],[math score]]&lt;$AC$5,Table1[[#This Row],[reading score]]&lt;$AC$5,Table1[[#This Row],[writing score]]&lt;$AC$5), "Failed atleast one", "Passed all")</f>
        <v>Failed atleast one</v>
      </c>
      <c r="O426" t="str">
        <f>VLOOKUP(Table1[[#This Row],[average score]],$AE$9:$AG$13,3,TRUE)</f>
        <v>Poor</v>
      </c>
    </row>
    <row r="427" spans="1:15" x14ac:dyDescent="0.2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t="s">
        <v>461</v>
      </c>
      <c r="J427">
        <f>SUM(Table1[[#This Row],[math score]:[writing score]])</f>
        <v>191</v>
      </c>
      <c r="K427" s="1">
        <f>Table1[[#This Row],[total score]]/3</f>
        <v>63.666666666666664</v>
      </c>
      <c r="L427" s="6" t="str">
        <f>VLOOKUP(Table1[[#This Row],[average score]],$AE$9:$AF$13,2,TRUE)</f>
        <v>D</v>
      </c>
      <c r="M4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27" s="2" t="str">
        <f>IF(OR(Table1[[#This Row],[math score]]&lt;$AC$5,Table1[[#This Row],[reading score]]&lt;$AC$5,Table1[[#This Row],[writing score]]&lt;$AC$5), "Failed atleast one", "Passed all")</f>
        <v>Passed all</v>
      </c>
      <c r="O427" t="str">
        <f>VLOOKUP(Table1[[#This Row],[average score]],$AE$9:$AG$13,3,TRUE)</f>
        <v>Needs improvements</v>
      </c>
    </row>
    <row r="428" spans="1:15" x14ac:dyDescent="0.2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t="s">
        <v>462</v>
      </c>
      <c r="J428">
        <f>SUM(Table1[[#This Row],[math score]:[writing score]])</f>
        <v>255</v>
      </c>
      <c r="K428" s="1">
        <f>Table1[[#This Row],[total score]]/3</f>
        <v>85</v>
      </c>
      <c r="L428" s="6" t="str">
        <f>VLOOKUP(Table1[[#This Row],[average score]],$AE$9:$AF$13,2,TRUE)</f>
        <v>B</v>
      </c>
      <c r="M4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28" s="2" t="str">
        <f>IF(OR(Table1[[#This Row],[math score]]&lt;$AC$5,Table1[[#This Row],[reading score]]&lt;$AC$5,Table1[[#This Row],[writing score]]&lt;$AC$5), "Failed atleast one", "Passed all")</f>
        <v>Passed all</v>
      </c>
      <c r="O428" t="str">
        <f>VLOOKUP(Table1[[#This Row],[average score]],$AE$9:$AG$13,3,TRUE)</f>
        <v xml:space="preserve">Good </v>
      </c>
    </row>
    <row r="429" spans="1:15" x14ac:dyDescent="0.2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t="s">
        <v>463</v>
      </c>
      <c r="J429">
        <f>SUM(Table1[[#This Row],[math score]:[writing score]])</f>
        <v>205</v>
      </c>
      <c r="K429" s="1">
        <f>Table1[[#This Row],[total score]]/3</f>
        <v>68.333333333333329</v>
      </c>
      <c r="L429" s="6" t="str">
        <f>VLOOKUP(Table1[[#This Row],[average score]],$AE$9:$AF$13,2,TRUE)</f>
        <v>D</v>
      </c>
      <c r="M4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29" s="2" t="str">
        <f>IF(OR(Table1[[#This Row],[math score]]&lt;$AC$5,Table1[[#This Row],[reading score]]&lt;$AC$5,Table1[[#This Row],[writing score]]&lt;$AC$5), "Failed atleast one", "Passed all")</f>
        <v>Passed all</v>
      </c>
      <c r="O429" t="str">
        <f>VLOOKUP(Table1[[#This Row],[average score]],$AE$9:$AG$13,3,TRUE)</f>
        <v>Needs improvements</v>
      </c>
    </row>
    <row r="430" spans="1:15" x14ac:dyDescent="0.2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t="s">
        <v>464</v>
      </c>
      <c r="J430">
        <f>SUM(Table1[[#This Row],[math score]:[writing score]])</f>
        <v>177</v>
      </c>
      <c r="K430" s="1">
        <f>Table1[[#This Row],[total score]]/3</f>
        <v>59</v>
      </c>
      <c r="L430" s="6" t="str">
        <f>VLOOKUP(Table1[[#This Row],[average score]],$AE$9:$AF$13,2,TRUE)</f>
        <v>F</v>
      </c>
      <c r="M4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30" s="2" t="str">
        <f>IF(OR(Table1[[#This Row],[math score]]&lt;$AC$5,Table1[[#This Row],[reading score]]&lt;$AC$5,Table1[[#This Row],[writing score]]&lt;$AC$5), "Failed atleast one", "Passed all")</f>
        <v>Failed atleast one</v>
      </c>
      <c r="O430" t="str">
        <f>VLOOKUP(Table1[[#This Row],[average score]],$AE$9:$AG$13,3,TRUE)</f>
        <v>Poor</v>
      </c>
    </row>
    <row r="431" spans="1:15" x14ac:dyDescent="0.2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t="s">
        <v>465</v>
      </c>
      <c r="J431">
        <f>SUM(Table1[[#This Row],[math score]:[writing score]])</f>
        <v>185</v>
      </c>
      <c r="K431" s="1">
        <f>Table1[[#This Row],[total score]]/3</f>
        <v>61.666666666666664</v>
      </c>
      <c r="L431" s="6" t="str">
        <f>VLOOKUP(Table1[[#This Row],[average score]],$AE$9:$AF$13,2,TRUE)</f>
        <v>D</v>
      </c>
      <c r="M4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1" s="2" t="str">
        <f>IF(OR(Table1[[#This Row],[math score]]&lt;$AC$5,Table1[[#This Row],[reading score]]&lt;$AC$5,Table1[[#This Row],[writing score]]&lt;$AC$5), "Failed atleast one", "Passed all")</f>
        <v>Failed atleast one</v>
      </c>
      <c r="O431" t="str">
        <f>VLOOKUP(Table1[[#This Row],[average score]],$AE$9:$AG$13,3,TRUE)</f>
        <v>Needs improvements</v>
      </c>
    </row>
    <row r="432" spans="1:15" x14ac:dyDescent="0.2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t="s">
        <v>466</v>
      </c>
      <c r="J432">
        <f>SUM(Table1[[#This Row],[math score]:[writing score]])</f>
        <v>189</v>
      </c>
      <c r="K432" s="1">
        <f>Table1[[#This Row],[total score]]/3</f>
        <v>63</v>
      </c>
      <c r="L432" s="6" t="str">
        <f>VLOOKUP(Table1[[#This Row],[average score]],$AE$9:$AF$13,2,TRUE)</f>
        <v>D</v>
      </c>
      <c r="M4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2" s="2" t="str">
        <f>IF(OR(Table1[[#This Row],[math score]]&lt;$AC$5,Table1[[#This Row],[reading score]]&lt;$AC$5,Table1[[#This Row],[writing score]]&lt;$AC$5), "Failed atleast one", "Passed all")</f>
        <v>Failed atleast one</v>
      </c>
      <c r="O432" t="str">
        <f>VLOOKUP(Table1[[#This Row],[average score]],$AE$9:$AG$13,3,TRUE)</f>
        <v>Needs improvements</v>
      </c>
    </row>
    <row r="433" spans="1:15" x14ac:dyDescent="0.2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t="s">
        <v>467</v>
      </c>
      <c r="J433">
        <f>SUM(Table1[[#This Row],[math score]:[writing score]])</f>
        <v>203</v>
      </c>
      <c r="K433" s="1">
        <f>Table1[[#This Row],[total score]]/3</f>
        <v>67.666666666666671</v>
      </c>
      <c r="L433" s="6" t="str">
        <f>VLOOKUP(Table1[[#This Row],[average score]],$AE$9:$AF$13,2,TRUE)</f>
        <v>D</v>
      </c>
      <c r="M4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3" s="2" t="str">
        <f>IF(OR(Table1[[#This Row],[math score]]&lt;$AC$5,Table1[[#This Row],[reading score]]&lt;$AC$5,Table1[[#This Row],[writing score]]&lt;$AC$5), "Failed atleast one", "Passed all")</f>
        <v>Passed all</v>
      </c>
      <c r="O433" t="str">
        <f>VLOOKUP(Table1[[#This Row],[average score]],$AE$9:$AG$13,3,TRUE)</f>
        <v>Needs improvements</v>
      </c>
    </row>
    <row r="434" spans="1:15" x14ac:dyDescent="0.2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t="s">
        <v>468</v>
      </c>
      <c r="J434">
        <f>SUM(Table1[[#This Row],[math score]:[writing score]])</f>
        <v>172</v>
      </c>
      <c r="K434" s="1">
        <f>Table1[[#This Row],[total score]]/3</f>
        <v>57.333333333333336</v>
      </c>
      <c r="L434" s="6" t="str">
        <f>VLOOKUP(Table1[[#This Row],[average score]],$AE$9:$AF$13,2,TRUE)</f>
        <v>F</v>
      </c>
      <c r="M4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34" s="2" t="str">
        <f>IF(OR(Table1[[#This Row],[math score]]&lt;$AC$5,Table1[[#This Row],[reading score]]&lt;$AC$5,Table1[[#This Row],[writing score]]&lt;$AC$5), "Failed atleast one", "Passed all")</f>
        <v>Failed atleast one</v>
      </c>
      <c r="O434" t="str">
        <f>VLOOKUP(Table1[[#This Row],[average score]],$AE$9:$AG$13,3,TRUE)</f>
        <v>Poor</v>
      </c>
    </row>
    <row r="435" spans="1:15" x14ac:dyDescent="0.2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t="s">
        <v>469</v>
      </c>
      <c r="J435">
        <f>SUM(Table1[[#This Row],[math score]:[writing score]])</f>
        <v>156</v>
      </c>
      <c r="K435" s="1">
        <f>Table1[[#This Row],[total score]]/3</f>
        <v>52</v>
      </c>
      <c r="L435" s="6" t="str">
        <f>VLOOKUP(Table1[[#This Row],[average score]],$AE$9:$AF$13,2,TRUE)</f>
        <v>F</v>
      </c>
      <c r="M4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35" s="2" t="str">
        <f>IF(OR(Table1[[#This Row],[math score]]&lt;$AC$5,Table1[[#This Row],[reading score]]&lt;$AC$5,Table1[[#This Row],[writing score]]&lt;$AC$5), "Failed atleast one", "Passed all")</f>
        <v>Failed atleast one</v>
      </c>
      <c r="O435" t="str">
        <f>VLOOKUP(Table1[[#This Row],[average score]],$AE$9:$AG$13,3,TRUE)</f>
        <v>Poor</v>
      </c>
    </row>
    <row r="436" spans="1:15" x14ac:dyDescent="0.2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t="s">
        <v>470</v>
      </c>
      <c r="J436">
        <f>SUM(Table1[[#This Row],[math score]:[writing score]])</f>
        <v>205</v>
      </c>
      <c r="K436" s="1">
        <f>Table1[[#This Row],[total score]]/3</f>
        <v>68.333333333333329</v>
      </c>
      <c r="L436" s="6" t="str">
        <f>VLOOKUP(Table1[[#This Row],[average score]],$AE$9:$AF$13,2,TRUE)</f>
        <v>D</v>
      </c>
      <c r="M4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6" s="2" t="str">
        <f>IF(OR(Table1[[#This Row],[math score]]&lt;$AC$5,Table1[[#This Row],[reading score]]&lt;$AC$5,Table1[[#This Row],[writing score]]&lt;$AC$5), "Failed atleast one", "Passed all")</f>
        <v>Passed all</v>
      </c>
      <c r="O436" t="str">
        <f>VLOOKUP(Table1[[#This Row],[average score]],$AE$9:$AG$13,3,TRUE)</f>
        <v>Needs improvements</v>
      </c>
    </row>
    <row r="437" spans="1:15" x14ac:dyDescent="0.2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t="s">
        <v>471</v>
      </c>
      <c r="J437">
        <f>SUM(Table1[[#This Row],[math score]:[writing score]])</f>
        <v>151</v>
      </c>
      <c r="K437" s="1">
        <f>Table1[[#This Row],[total score]]/3</f>
        <v>50.333333333333336</v>
      </c>
      <c r="L437" s="6" t="str">
        <f>VLOOKUP(Table1[[#This Row],[average score]],$AE$9:$AF$13,2,TRUE)</f>
        <v>F</v>
      </c>
      <c r="M4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37" s="2" t="str">
        <f>IF(OR(Table1[[#This Row],[math score]]&lt;$AC$5,Table1[[#This Row],[reading score]]&lt;$AC$5,Table1[[#This Row],[writing score]]&lt;$AC$5), "Failed atleast one", "Passed all")</f>
        <v>Failed atleast one</v>
      </c>
      <c r="O437" t="str">
        <f>VLOOKUP(Table1[[#This Row],[average score]],$AE$9:$AG$13,3,TRUE)</f>
        <v>Poor</v>
      </c>
    </row>
    <row r="438" spans="1:15" x14ac:dyDescent="0.2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t="s">
        <v>472</v>
      </c>
      <c r="J438">
        <f>SUM(Table1[[#This Row],[math score]:[writing score]])</f>
        <v>207</v>
      </c>
      <c r="K438" s="1">
        <f>Table1[[#This Row],[total score]]/3</f>
        <v>69</v>
      </c>
      <c r="L438" s="6" t="str">
        <f>VLOOKUP(Table1[[#This Row],[average score]],$AE$9:$AF$13,2,TRUE)</f>
        <v>D</v>
      </c>
      <c r="M4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38" s="2" t="str">
        <f>IF(OR(Table1[[#This Row],[math score]]&lt;$AC$5,Table1[[#This Row],[reading score]]&lt;$AC$5,Table1[[#This Row],[writing score]]&lt;$AC$5), "Failed atleast one", "Passed all")</f>
        <v>Passed all</v>
      </c>
      <c r="O438" t="str">
        <f>VLOOKUP(Table1[[#This Row],[average score]],$AE$9:$AG$13,3,TRUE)</f>
        <v>Needs improvements</v>
      </c>
    </row>
    <row r="439" spans="1:15" x14ac:dyDescent="0.2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t="s">
        <v>473</v>
      </c>
      <c r="J439">
        <f>SUM(Table1[[#This Row],[math score]:[writing score]])</f>
        <v>214</v>
      </c>
      <c r="K439" s="1">
        <f>Table1[[#This Row],[total score]]/3</f>
        <v>71.333333333333329</v>
      </c>
      <c r="L439" s="6" t="str">
        <f>VLOOKUP(Table1[[#This Row],[average score]],$AE$9:$AF$13,2,TRUE)</f>
        <v>C</v>
      </c>
      <c r="M4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39" s="2" t="str">
        <f>IF(OR(Table1[[#This Row],[math score]]&lt;$AC$5,Table1[[#This Row],[reading score]]&lt;$AC$5,Table1[[#This Row],[writing score]]&lt;$AC$5), "Failed atleast one", "Passed all")</f>
        <v>Passed all</v>
      </c>
      <c r="O439" t="str">
        <f>VLOOKUP(Table1[[#This Row],[average score]],$AE$9:$AG$13,3,TRUE)</f>
        <v>Satisfactory</v>
      </c>
    </row>
    <row r="440" spans="1:15" x14ac:dyDescent="0.2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t="s">
        <v>474</v>
      </c>
      <c r="J440">
        <f>SUM(Table1[[#This Row],[math score]:[writing score]])</f>
        <v>177</v>
      </c>
      <c r="K440" s="1">
        <f>Table1[[#This Row],[total score]]/3</f>
        <v>59</v>
      </c>
      <c r="L440" s="6" t="str">
        <f>VLOOKUP(Table1[[#This Row],[average score]],$AE$9:$AF$13,2,TRUE)</f>
        <v>F</v>
      </c>
      <c r="M4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40" s="2" t="str">
        <f>IF(OR(Table1[[#This Row],[math score]]&lt;$AC$5,Table1[[#This Row],[reading score]]&lt;$AC$5,Table1[[#This Row],[writing score]]&lt;$AC$5), "Failed atleast one", "Passed all")</f>
        <v>Failed atleast one</v>
      </c>
      <c r="O440" t="str">
        <f>VLOOKUP(Table1[[#This Row],[average score]],$AE$9:$AG$13,3,TRUE)</f>
        <v>Poor</v>
      </c>
    </row>
    <row r="441" spans="1:15" x14ac:dyDescent="0.2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t="s">
        <v>475</v>
      </c>
      <c r="J441">
        <f>SUM(Table1[[#This Row],[math score]:[writing score]])</f>
        <v>259</v>
      </c>
      <c r="K441" s="1">
        <f>Table1[[#This Row],[total score]]/3</f>
        <v>86.333333333333329</v>
      </c>
      <c r="L441" s="6" t="str">
        <f>VLOOKUP(Table1[[#This Row],[average score]],$AE$9:$AF$13,2,TRUE)</f>
        <v>B</v>
      </c>
      <c r="M4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41" s="2" t="str">
        <f>IF(OR(Table1[[#This Row],[math score]]&lt;$AC$5,Table1[[#This Row],[reading score]]&lt;$AC$5,Table1[[#This Row],[writing score]]&lt;$AC$5), "Failed atleast one", "Passed all")</f>
        <v>Passed all</v>
      </c>
      <c r="O441" t="str">
        <f>VLOOKUP(Table1[[#This Row],[average score]],$AE$9:$AG$13,3,TRUE)</f>
        <v xml:space="preserve">Good </v>
      </c>
    </row>
    <row r="442" spans="1:15" x14ac:dyDescent="0.2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t="s">
        <v>476</v>
      </c>
      <c r="J442">
        <f>SUM(Table1[[#This Row],[math score]:[writing score]])</f>
        <v>227</v>
      </c>
      <c r="K442" s="1">
        <f>Table1[[#This Row],[total score]]/3</f>
        <v>75.666666666666671</v>
      </c>
      <c r="L442" s="6" t="str">
        <f>VLOOKUP(Table1[[#This Row],[average score]],$AE$9:$AF$13,2,TRUE)</f>
        <v>C</v>
      </c>
      <c r="M4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42" s="2" t="str">
        <f>IF(OR(Table1[[#This Row],[math score]]&lt;$AC$5,Table1[[#This Row],[reading score]]&lt;$AC$5,Table1[[#This Row],[writing score]]&lt;$AC$5), "Failed atleast one", "Passed all")</f>
        <v>Passed all</v>
      </c>
      <c r="O442" t="str">
        <f>VLOOKUP(Table1[[#This Row],[average score]],$AE$9:$AG$13,3,TRUE)</f>
        <v>Satisfactory</v>
      </c>
    </row>
    <row r="443" spans="1:15" x14ac:dyDescent="0.2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t="s">
        <v>477</v>
      </c>
      <c r="J443">
        <f>SUM(Table1[[#This Row],[math score]:[writing score]])</f>
        <v>239</v>
      </c>
      <c r="K443" s="1">
        <f>Table1[[#This Row],[total score]]/3</f>
        <v>79.666666666666671</v>
      </c>
      <c r="L443" s="6" t="str">
        <f>VLOOKUP(Table1[[#This Row],[average score]],$AE$9:$AF$13,2,TRUE)</f>
        <v>C</v>
      </c>
      <c r="M4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43" s="2" t="str">
        <f>IF(OR(Table1[[#This Row],[math score]]&lt;$AC$5,Table1[[#This Row],[reading score]]&lt;$AC$5,Table1[[#This Row],[writing score]]&lt;$AC$5), "Failed atleast one", "Passed all")</f>
        <v>Passed all</v>
      </c>
      <c r="O443" t="str">
        <f>VLOOKUP(Table1[[#This Row],[average score]],$AE$9:$AG$13,3,TRUE)</f>
        <v>Satisfactory</v>
      </c>
    </row>
    <row r="444" spans="1:15" x14ac:dyDescent="0.2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t="s">
        <v>478</v>
      </c>
      <c r="J444">
        <f>SUM(Table1[[#This Row],[math score]:[writing score]])</f>
        <v>201</v>
      </c>
      <c r="K444" s="1">
        <f>Table1[[#This Row],[total score]]/3</f>
        <v>67</v>
      </c>
      <c r="L444" s="6" t="str">
        <f>VLOOKUP(Table1[[#This Row],[average score]],$AE$9:$AF$13,2,TRUE)</f>
        <v>D</v>
      </c>
      <c r="M4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44" s="2" t="str">
        <f>IF(OR(Table1[[#This Row],[math score]]&lt;$AC$5,Table1[[#This Row],[reading score]]&lt;$AC$5,Table1[[#This Row],[writing score]]&lt;$AC$5), "Failed atleast one", "Passed all")</f>
        <v>Failed atleast one</v>
      </c>
      <c r="O444" t="str">
        <f>VLOOKUP(Table1[[#This Row],[average score]],$AE$9:$AG$13,3,TRUE)</f>
        <v>Needs improvements</v>
      </c>
    </row>
    <row r="445" spans="1:15" x14ac:dyDescent="0.2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t="s">
        <v>479</v>
      </c>
      <c r="J445">
        <f>SUM(Table1[[#This Row],[math score]:[writing score]])</f>
        <v>232</v>
      </c>
      <c r="K445" s="1">
        <f>Table1[[#This Row],[total score]]/3</f>
        <v>77.333333333333329</v>
      </c>
      <c r="L445" s="6" t="str">
        <f>VLOOKUP(Table1[[#This Row],[average score]],$AE$9:$AF$13,2,TRUE)</f>
        <v>C</v>
      </c>
      <c r="M4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45" s="2" t="str">
        <f>IF(OR(Table1[[#This Row],[math score]]&lt;$AC$5,Table1[[#This Row],[reading score]]&lt;$AC$5,Table1[[#This Row],[writing score]]&lt;$AC$5), "Failed atleast one", "Passed all")</f>
        <v>Passed all</v>
      </c>
      <c r="O445" t="str">
        <f>VLOOKUP(Table1[[#This Row],[average score]],$AE$9:$AG$13,3,TRUE)</f>
        <v>Satisfactory</v>
      </c>
    </row>
    <row r="446" spans="1:15" x14ac:dyDescent="0.2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t="s">
        <v>480</v>
      </c>
      <c r="J446">
        <f>SUM(Table1[[#This Row],[math score]:[writing score]])</f>
        <v>234</v>
      </c>
      <c r="K446" s="1">
        <f>Table1[[#This Row],[total score]]/3</f>
        <v>78</v>
      </c>
      <c r="L446" s="6" t="str">
        <f>VLOOKUP(Table1[[#This Row],[average score]],$AE$9:$AF$13,2,TRUE)</f>
        <v>C</v>
      </c>
      <c r="M4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46" s="2" t="str">
        <f>IF(OR(Table1[[#This Row],[math score]]&lt;$AC$5,Table1[[#This Row],[reading score]]&lt;$AC$5,Table1[[#This Row],[writing score]]&lt;$AC$5), "Failed atleast one", "Passed all")</f>
        <v>Passed all</v>
      </c>
      <c r="O446" t="str">
        <f>VLOOKUP(Table1[[#This Row],[average score]],$AE$9:$AG$13,3,TRUE)</f>
        <v>Satisfactory</v>
      </c>
    </row>
    <row r="447" spans="1:15" x14ac:dyDescent="0.2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t="s">
        <v>481</v>
      </c>
      <c r="J447">
        <f>SUM(Table1[[#This Row],[math score]:[writing score]])</f>
        <v>218</v>
      </c>
      <c r="K447" s="1">
        <f>Table1[[#This Row],[total score]]/3</f>
        <v>72.666666666666671</v>
      </c>
      <c r="L447" s="6" t="str">
        <f>VLOOKUP(Table1[[#This Row],[average score]],$AE$9:$AF$13,2,TRUE)</f>
        <v>C</v>
      </c>
      <c r="M4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47" s="2" t="str">
        <f>IF(OR(Table1[[#This Row],[math score]]&lt;$AC$5,Table1[[#This Row],[reading score]]&lt;$AC$5,Table1[[#This Row],[writing score]]&lt;$AC$5), "Failed atleast one", "Passed all")</f>
        <v>Passed all</v>
      </c>
      <c r="O447" t="str">
        <f>VLOOKUP(Table1[[#This Row],[average score]],$AE$9:$AG$13,3,TRUE)</f>
        <v>Satisfactory</v>
      </c>
    </row>
    <row r="448" spans="1:15" x14ac:dyDescent="0.2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t="s">
        <v>482</v>
      </c>
      <c r="J448">
        <f>SUM(Table1[[#This Row],[math score]:[writing score]])</f>
        <v>195</v>
      </c>
      <c r="K448" s="1">
        <f>Table1[[#This Row],[total score]]/3</f>
        <v>65</v>
      </c>
      <c r="L448" s="6" t="str">
        <f>VLOOKUP(Table1[[#This Row],[average score]],$AE$9:$AF$13,2,TRUE)</f>
        <v>D</v>
      </c>
      <c r="M4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48" s="2" t="str">
        <f>IF(OR(Table1[[#This Row],[math score]]&lt;$AC$5,Table1[[#This Row],[reading score]]&lt;$AC$5,Table1[[#This Row],[writing score]]&lt;$AC$5), "Failed atleast one", "Passed all")</f>
        <v>Passed all</v>
      </c>
      <c r="O448" t="str">
        <f>VLOOKUP(Table1[[#This Row],[average score]],$AE$9:$AG$13,3,TRUE)</f>
        <v>Needs improvements</v>
      </c>
    </row>
    <row r="449" spans="1:15" x14ac:dyDescent="0.2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t="s">
        <v>483</v>
      </c>
      <c r="J449">
        <f>SUM(Table1[[#This Row],[math score]:[writing score]])</f>
        <v>247</v>
      </c>
      <c r="K449" s="1">
        <f>Table1[[#This Row],[total score]]/3</f>
        <v>82.333333333333329</v>
      </c>
      <c r="L449" s="6" t="str">
        <f>VLOOKUP(Table1[[#This Row],[average score]],$AE$9:$AF$13,2,TRUE)</f>
        <v>B</v>
      </c>
      <c r="M4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49" s="2" t="str">
        <f>IF(OR(Table1[[#This Row],[math score]]&lt;$AC$5,Table1[[#This Row],[reading score]]&lt;$AC$5,Table1[[#This Row],[writing score]]&lt;$AC$5), "Failed atleast one", "Passed all")</f>
        <v>Passed all</v>
      </c>
      <c r="O449" t="str">
        <f>VLOOKUP(Table1[[#This Row],[average score]],$AE$9:$AG$13,3,TRUE)</f>
        <v xml:space="preserve">Good </v>
      </c>
    </row>
    <row r="450" spans="1:15" x14ac:dyDescent="0.2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t="s">
        <v>484</v>
      </c>
      <c r="J450">
        <f>SUM(Table1[[#This Row],[math score]:[writing score]])</f>
        <v>135</v>
      </c>
      <c r="K450" s="1">
        <f>Table1[[#This Row],[total score]]/3</f>
        <v>45</v>
      </c>
      <c r="L450" s="6" t="str">
        <f>VLOOKUP(Table1[[#This Row],[average score]],$AE$9:$AF$13,2,TRUE)</f>
        <v>F</v>
      </c>
      <c r="M4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50" s="2" t="str">
        <f>IF(OR(Table1[[#This Row],[math score]]&lt;$AC$5,Table1[[#This Row],[reading score]]&lt;$AC$5,Table1[[#This Row],[writing score]]&lt;$AC$5), "Failed atleast one", "Passed all")</f>
        <v>Failed atleast one</v>
      </c>
      <c r="O450" t="str">
        <f>VLOOKUP(Table1[[#This Row],[average score]],$AE$9:$AG$13,3,TRUE)</f>
        <v>Poor</v>
      </c>
    </row>
    <row r="451" spans="1:15" x14ac:dyDescent="0.2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t="s">
        <v>485</v>
      </c>
      <c r="J451">
        <f>SUM(Table1[[#This Row],[math score]:[writing score]])</f>
        <v>226</v>
      </c>
      <c r="K451" s="1">
        <f>Table1[[#This Row],[total score]]/3</f>
        <v>75.333333333333329</v>
      </c>
      <c r="L451" s="6" t="str">
        <f>VLOOKUP(Table1[[#This Row],[average score]],$AE$9:$AF$13,2,TRUE)</f>
        <v>C</v>
      </c>
      <c r="M4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51" s="2" t="str">
        <f>IF(OR(Table1[[#This Row],[math score]]&lt;$AC$5,Table1[[#This Row],[reading score]]&lt;$AC$5,Table1[[#This Row],[writing score]]&lt;$AC$5), "Failed atleast one", "Passed all")</f>
        <v>Passed all</v>
      </c>
      <c r="O451" t="str">
        <f>VLOOKUP(Table1[[#This Row],[average score]],$AE$9:$AG$13,3,TRUE)</f>
        <v>Satisfactory</v>
      </c>
    </row>
    <row r="452" spans="1:15" x14ac:dyDescent="0.2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t="s">
        <v>486</v>
      </c>
      <c r="J452">
        <f>SUM(Table1[[#This Row],[math score]:[writing score]])</f>
        <v>234</v>
      </c>
      <c r="K452" s="1">
        <f>Table1[[#This Row],[total score]]/3</f>
        <v>78</v>
      </c>
      <c r="L452" s="6" t="str">
        <f>VLOOKUP(Table1[[#This Row],[average score]],$AE$9:$AF$13,2,TRUE)</f>
        <v>C</v>
      </c>
      <c r="M4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52" s="2" t="str">
        <f>IF(OR(Table1[[#This Row],[math score]]&lt;$AC$5,Table1[[#This Row],[reading score]]&lt;$AC$5,Table1[[#This Row],[writing score]]&lt;$AC$5), "Failed atleast one", "Passed all")</f>
        <v>Passed all</v>
      </c>
      <c r="O452" t="str">
        <f>VLOOKUP(Table1[[#This Row],[average score]],$AE$9:$AG$13,3,TRUE)</f>
        <v>Satisfactory</v>
      </c>
    </row>
    <row r="453" spans="1:15" x14ac:dyDescent="0.2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t="s">
        <v>487</v>
      </c>
      <c r="J453">
        <f>SUM(Table1[[#This Row],[math score]:[writing score]])</f>
        <v>289</v>
      </c>
      <c r="K453" s="1">
        <f>Table1[[#This Row],[total score]]/3</f>
        <v>96.333333333333329</v>
      </c>
      <c r="L453" s="6" t="str">
        <f>VLOOKUP(Table1[[#This Row],[average score]],$AE$9:$AF$13,2,TRUE)</f>
        <v>A</v>
      </c>
      <c r="M4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453" s="2" t="str">
        <f>IF(OR(Table1[[#This Row],[math score]]&lt;$AC$5,Table1[[#This Row],[reading score]]&lt;$AC$5,Table1[[#This Row],[writing score]]&lt;$AC$5), "Failed atleast one", "Passed all")</f>
        <v>Passed all</v>
      </c>
      <c r="O453" t="str">
        <f>VLOOKUP(Table1[[#This Row],[average score]],$AE$9:$AG$13,3,TRUE)</f>
        <v>Outstanding</v>
      </c>
    </row>
    <row r="454" spans="1:15" x14ac:dyDescent="0.2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t="s">
        <v>488</v>
      </c>
      <c r="J454">
        <f>SUM(Table1[[#This Row],[math score]:[writing score]])</f>
        <v>216</v>
      </c>
      <c r="K454" s="1">
        <f>Table1[[#This Row],[total score]]/3</f>
        <v>72</v>
      </c>
      <c r="L454" s="6" t="str">
        <f>VLOOKUP(Table1[[#This Row],[average score]],$AE$9:$AF$13,2,TRUE)</f>
        <v>C</v>
      </c>
      <c r="M4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54" s="2" t="str">
        <f>IF(OR(Table1[[#This Row],[math score]]&lt;$AC$5,Table1[[#This Row],[reading score]]&lt;$AC$5,Table1[[#This Row],[writing score]]&lt;$AC$5), "Failed atleast one", "Passed all")</f>
        <v>Passed all</v>
      </c>
      <c r="O454" t="str">
        <f>VLOOKUP(Table1[[#This Row],[average score]],$AE$9:$AG$13,3,TRUE)</f>
        <v>Satisfactory</v>
      </c>
    </row>
    <row r="455" spans="1:15" x14ac:dyDescent="0.2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t="s">
        <v>489</v>
      </c>
      <c r="J455">
        <f>SUM(Table1[[#This Row],[math score]:[writing score]])</f>
        <v>172</v>
      </c>
      <c r="K455" s="1">
        <f>Table1[[#This Row],[total score]]/3</f>
        <v>57.333333333333336</v>
      </c>
      <c r="L455" s="6" t="str">
        <f>VLOOKUP(Table1[[#This Row],[average score]],$AE$9:$AF$13,2,TRUE)</f>
        <v>F</v>
      </c>
      <c r="M4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55" s="2" t="str">
        <f>IF(OR(Table1[[#This Row],[math score]]&lt;$AC$5,Table1[[#This Row],[reading score]]&lt;$AC$5,Table1[[#This Row],[writing score]]&lt;$AC$5), "Failed atleast one", "Passed all")</f>
        <v>Failed atleast one</v>
      </c>
      <c r="O455" t="str">
        <f>VLOOKUP(Table1[[#This Row],[average score]],$AE$9:$AG$13,3,TRUE)</f>
        <v>Poor</v>
      </c>
    </row>
    <row r="456" spans="1:15" x14ac:dyDescent="0.2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t="s">
        <v>490</v>
      </c>
      <c r="J456">
        <f>SUM(Table1[[#This Row],[math score]:[writing score]])</f>
        <v>176</v>
      </c>
      <c r="K456" s="1">
        <f>Table1[[#This Row],[total score]]/3</f>
        <v>58.666666666666664</v>
      </c>
      <c r="L456" s="6" t="str">
        <f>VLOOKUP(Table1[[#This Row],[average score]],$AE$9:$AF$13,2,TRUE)</f>
        <v>F</v>
      </c>
      <c r="M4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56" s="2" t="str">
        <f>IF(OR(Table1[[#This Row],[math score]]&lt;$AC$5,Table1[[#This Row],[reading score]]&lt;$AC$5,Table1[[#This Row],[writing score]]&lt;$AC$5), "Failed atleast one", "Passed all")</f>
        <v>Failed atleast one</v>
      </c>
      <c r="O456" t="str">
        <f>VLOOKUP(Table1[[#This Row],[average score]],$AE$9:$AG$13,3,TRUE)</f>
        <v>Poor</v>
      </c>
    </row>
    <row r="457" spans="1:15" x14ac:dyDescent="0.2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t="s">
        <v>491</v>
      </c>
      <c r="J457">
        <f>SUM(Table1[[#This Row],[math score]:[writing score]])</f>
        <v>140</v>
      </c>
      <c r="K457" s="1">
        <f>Table1[[#This Row],[total score]]/3</f>
        <v>46.666666666666664</v>
      </c>
      <c r="L457" s="6" t="str">
        <f>VLOOKUP(Table1[[#This Row],[average score]],$AE$9:$AF$13,2,TRUE)</f>
        <v>F</v>
      </c>
      <c r="M4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57" s="2" t="str">
        <f>IF(OR(Table1[[#This Row],[math score]]&lt;$AC$5,Table1[[#This Row],[reading score]]&lt;$AC$5,Table1[[#This Row],[writing score]]&lt;$AC$5), "Failed atleast one", "Passed all")</f>
        <v>Failed atleast one</v>
      </c>
      <c r="O457" t="str">
        <f>VLOOKUP(Table1[[#This Row],[average score]],$AE$9:$AG$13,3,TRUE)</f>
        <v>Poor</v>
      </c>
    </row>
    <row r="458" spans="1:15" x14ac:dyDescent="0.2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t="s">
        <v>492</v>
      </c>
      <c r="J458">
        <f>SUM(Table1[[#This Row],[math score]:[writing score]])</f>
        <v>257</v>
      </c>
      <c r="K458" s="1">
        <f>Table1[[#This Row],[total score]]/3</f>
        <v>85.666666666666671</v>
      </c>
      <c r="L458" s="6" t="str">
        <f>VLOOKUP(Table1[[#This Row],[average score]],$AE$9:$AF$13,2,TRUE)</f>
        <v>B</v>
      </c>
      <c r="M4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58" s="2" t="str">
        <f>IF(OR(Table1[[#This Row],[math score]]&lt;$AC$5,Table1[[#This Row],[reading score]]&lt;$AC$5,Table1[[#This Row],[writing score]]&lt;$AC$5), "Failed atleast one", "Passed all")</f>
        <v>Passed all</v>
      </c>
      <c r="O458" t="str">
        <f>VLOOKUP(Table1[[#This Row],[average score]],$AE$9:$AG$13,3,TRUE)</f>
        <v xml:space="preserve">Good </v>
      </c>
    </row>
    <row r="459" spans="1:15" x14ac:dyDescent="0.2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t="s">
        <v>493</v>
      </c>
      <c r="J459">
        <f>SUM(Table1[[#This Row],[math score]:[writing score]])</f>
        <v>155</v>
      </c>
      <c r="K459" s="1">
        <f>Table1[[#This Row],[total score]]/3</f>
        <v>51.666666666666664</v>
      </c>
      <c r="L459" s="6" t="str">
        <f>VLOOKUP(Table1[[#This Row],[average score]],$AE$9:$AF$13,2,TRUE)</f>
        <v>F</v>
      </c>
      <c r="M4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59" s="2" t="str">
        <f>IF(OR(Table1[[#This Row],[math score]]&lt;$AC$5,Table1[[#This Row],[reading score]]&lt;$AC$5,Table1[[#This Row],[writing score]]&lt;$AC$5), "Failed atleast one", "Passed all")</f>
        <v>Failed atleast one</v>
      </c>
      <c r="O459" t="str">
        <f>VLOOKUP(Table1[[#This Row],[average score]],$AE$9:$AG$13,3,TRUE)</f>
        <v>Poor</v>
      </c>
    </row>
    <row r="460" spans="1:15" x14ac:dyDescent="0.2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t="s">
        <v>494</v>
      </c>
      <c r="J460">
        <f>SUM(Table1[[#This Row],[math score]:[writing score]])</f>
        <v>300</v>
      </c>
      <c r="K460" s="1">
        <f>Table1[[#This Row],[total score]]/3</f>
        <v>100</v>
      </c>
      <c r="L460" s="6" t="str">
        <f>VLOOKUP(Table1[[#This Row],[average score]],$AE$9:$AF$13,2,TRUE)</f>
        <v>A</v>
      </c>
      <c r="M4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460" s="2" t="str">
        <f>IF(OR(Table1[[#This Row],[math score]]&lt;$AC$5,Table1[[#This Row],[reading score]]&lt;$AC$5,Table1[[#This Row],[writing score]]&lt;$AC$5), "Failed atleast one", "Passed all")</f>
        <v>Passed all</v>
      </c>
      <c r="O460" t="str">
        <f>VLOOKUP(Table1[[#This Row],[average score]],$AE$9:$AG$13,3,TRUE)</f>
        <v>Outstanding</v>
      </c>
    </row>
    <row r="461" spans="1:15" x14ac:dyDescent="0.2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t="s">
        <v>495</v>
      </c>
      <c r="J461">
        <f>SUM(Table1[[#This Row],[math score]:[writing score]])</f>
        <v>205</v>
      </c>
      <c r="K461" s="1">
        <f>Table1[[#This Row],[total score]]/3</f>
        <v>68.333333333333329</v>
      </c>
      <c r="L461" s="6" t="str">
        <f>VLOOKUP(Table1[[#This Row],[average score]],$AE$9:$AF$13,2,TRUE)</f>
        <v>D</v>
      </c>
      <c r="M4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61" s="2" t="str">
        <f>IF(OR(Table1[[#This Row],[math score]]&lt;$AC$5,Table1[[#This Row],[reading score]]&lt;$AC$5,Table1[[#This Row],[writing score]]&lt;$AC$5), "Failed atleast one", "Passed all")</f>
        <v>Passed all</v>
      </c>
      <c r="O461" t="str">
        <f>VLOOKUP(Table1[[#This Row],[average score]],$AE$9:$AG$13,3,TRUE)</f>
        <v>Needs improvements</v>
      </c>
    </row>
    <row r="462" spans="1:15" x14ac:dyDescent="0.2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t="s">
        <v>496</v>
      </c>
      <c r="J462">
        <f>SUM(Table1[[#This Row],[math score]:[writing score]])</f>
        <v>166</v>
      </c>
      <c r="K462" s="1">
        <f>Table1[[#This Row],[total score]]/3</f>
        <v>55.333333333333336</v>
      </c>
      <c r="L462" s="6" t="str">
        <f>VLOOKUP(Table1[[#This Row],[average score]],$AE$9:$AF$13,2,TRUE)</f>
        <v>F</v>
      </c>
      <c r="M4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62" s="2" t="str">
        <f>IF(OR(Table1[[#This Row],[math score]]&lt;$AC$5,Table1[[#This Row],[reading score]]&lt;$AC$5,Table1[[#This Row],[writing score]]&lt;$AC$5), "Failed atleast one", "Passed all")</f>
        <v>Failed atleast one</v>
      </c>
      <c r="O462" t="str">
        <f>VLOOKUP(Table1[[#This Row],[average score]],$AE$9:$AG$13,3,TRUE)</f>
        <v>Poor</v>
      </c>
    </row>
    <row r="463" spans="1:15" x14ac:dyDescent="0.2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t="s">
        <v>497</v>
      </c>
      <c r="J463">
        <f>SUM(Table1[[#This Row],[math score]:[writing score]])</f>
        <v>153</v>
      </c>
      <c r="K463" s="1">
        <f>Table1[[#This Row],[total score]]/3</f>
        <v>51</v>
      </c>
      <c r="L463" s="6" t="str">
        <f>VLOOKUP(Table1[[#This Row],[average score]],$AE$9:$AF$13,2,TRUE)</f>
        <v>F</v>
      </c>
      <c r="M4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63" s="2" t="str">
        <f>IF(OR(Table1[[#This Row],[math score]]&lt;$AC$5,Table1[[#This Row],[reading score]]&lt;$AC$5,Table1[[#This Row],[writing score]]&lt;$AC$5), "Failed atleast one", "Passed all")</f>
        <v>Failed atleast one</v>
      </c>
      <c r="O463" t="str">
        <f>VLOOKUP(Table1[[#This Row],[average score]],$AE$9:$AG$13,3,TRUE)</f>
        <v>Poor</v>
      </c>
    </row>
    <row r="464" spans="1:15" x14ac:dyDescent="0.2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t="s">
        <v>498</v>
      </c>
      <c r="J464">
        <f>SUM(Table1[[#This Row],[math score]:[writing score]])</f>
        <v>217</v>
      </c>
      <c r="K464" s="1">
        <f>Table1[[#This Row],[total score]]/3</f>
        <v>72.333333333333329</v>
      </c>
      <c r="L464" s="6" t="str">
        <f>VLOOKUP(Table1[[#This Row],[average score]],$AE$9:$AF$13,2,TRUE)</f>
        <v>C</v>
      </c>
      <c r="M4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64" s="2" t="str">
        <f>IF(OR(Table1[[#This Row],[math score]]&lt;$AC$5,Table1[[#This Row],[reading score]]&lt;$AC$5,Table1[[#This Row],[writing score]]&lt;$AC$5), "Failed atleast one", "Passed all")</f>
        <v>Passed all</v>
      </c>
      <c r="O464" t="str">
        <f>VLOOKUP(Table1[[#This Row],[average score]],$AE$9:$AG$13,3,TRUE)</f>
        <v>Satisfactory</v>
      </c>
    </row>
    <row r="465" spans="1:15" x14ac:dyDescent="0.2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t="s">
        <v>499</v>
      </c>
      <c r="J465">
        <f>SUM(Table1[[#This Row],[math score]:[writing score]])</f>
        <v>258</v>
      </c>
      <c r="K465" s="1">
        <f>Table1[[#This Row],[total score]]/3</f>
        <v>86</v>
      </c>
      <c r="L465" s="6" t="str">
        <f>VLOOKUP(Table1[[#This Row],[average score]],$AE$9:$AF$13,2,TRUE)</f>
        <v>B</v>
      </c>
      <c r="M4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65" s="2" t="str">
        <f>IF(OR(Table1[[#This Row],[math score]]&lt;$AC$5,Table1[[#This Row],[reading score]]&lt;$AC$5,Table1[[#This Row],[writing score]]&lt;$AC$5), "Failed atleast one", "Passed all")</f>
        <v>Passed all</v>
      </c>
      <c r="O465" t="str">
        <f>VLOOKUP(Table1[[#This Row],[average score]],$AE$9:$AG$13,3,TRUE)</f>
        <v xml:space="preserve">Good </v>
      </c>
    </row>
    <row r="466" spans="1:15" x14ac:dyDescent="0.2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t="s">
        <v>500</v>
      </c>
      <c r="J466">
        <f>SUM(Table1[[#This Row],[math score]:[writing score]])</f>
        <v>195</v>
      </c>
      <c r="K466" s="1">
        <f>Table1[[#This Row],[total score]]/3</f>
        <v>65</v>
      </c>
      <c r="L466" s="6" t="str">
        <f>VLOOKUP(Table1[[#This Row],[average score]],$AE$9:$AF$13,2,TRUE)</f>
        <v>D</v>
      </c>
      <c r="M4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66" s="2" t="str">
        <f>IF(OR(Table1[[#This Row],[math score]]&lt;$AC$5,Table1[[#This Row],[reading score]]&lt;$AC$5,Table1[[#This Row],[writing score]]&lt;$AC$5), "Failed atleast one", "Passed all")</f>
        <v>Failed atleast one</v>
      </c>
      <c r="O466" t="str">
        <f>VLOOKUP(Table1[[#This Row],[average score]],$AE$9:$AG$13,3,TRUE)</f>
        <v>Needs improvements</v>
      </c>
    </row>
    <row r="467" spans="1:15" x14ac:dyDescent="0.2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t="s">
        <v>501</v>
      </c>
      <c r="J467">
        <f>SUM(Table1[[#This Row],[math score]:[writing score]])</f>
        <v>262</v>
      </c>
      <c r="K467" s="1">
        <f>Table1[[#This Row],[total score]]/3</f>
        <v>87.333333333333329</v>
      </c>
      <c r="L467" s="6" t="str">
        <f>VLOOKUP(Table1[[#This Row],[average score]],$AE$9:$AF$13,2,TRUE)</f>
        <v>B</v>
      </c>
      <c r="M4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67" s="2" t="str">
        <f>IF(OR(Table1[[#This Row],[math score]]&lt;$AC$5,Table1[[#This Row],[reading score]]&lt;$AC$5,Table1[[#This Row],[writing score]]&lt;$AC$5), "Failed atleast one", "Passed all")</f>
        <v>Passed all</v>
      </c>
      <c r="O467" t="str">
        <f>VLOOKUP(Table1[[#This Row],[average score]],$AE$9:$AG$13,3,TRUE)</f>
        <v xml:space="preserve">Good </v>
      </c>
    </row>
    <row r="468" spans="1:15" x14ac:dyDescent="0.2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t="s">
        <v>502</v>
      </c>
      <c r="J468">
        <f>SUM(Table1[[#This Row],[math score]:[writing score]])</f>
        <v>95</v>
      </c>
      <c r="K468" s="1">
        <f>Table1[[#This Row],[total score]]/3</f>
        <v>31.666666666666668</v>
      </c>
      <c r="L468" s="6" t="str">
        <f>VLOOKUP(Table1[[#This Row],[average score]],$AE$9:$AF$13,2,TRUE)</f>
        <v>F</v>
      </c>
      <c r="M4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68" s="2" t="str">
        <f>IF(OR(Table1[[#This Row],[math score]]&lt;$AC$5,Table1[[#This Row],[reading score]]&lt;$AC$5,Table1[[#This Row],[writing score]]&lt;$AC$5), "Failed atleast one", "Passed all")</f>
        <v>Failed atleast one</v>
      </c>
      <c r="O468" t="str">
        <f>VLOOKUP(Table1[[#This Row],[average score]],$AE$9:$AG$13,3,TRUE)</f>
        <v>Poor</v>
      </c>
    </row>
    <row r="469" spans="1:15" x14ac:dyDescent="0.2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t="s">
        <v>503</v>
      </c>
      <c r="J469">
        <f>SUM(Table1[[#This Row],[math score]:[writing score]])</f>
        <v>204</v>
      </c>
      <c r="K469" s="1">
        <f>Table1[[#This Row],[total score]]/3</f>
        <v>68</v>
      </c>
      <c r="L469" s="6" t="str">
        <f>VLOOKUP(Table1[[#This Row],[average score]],$AE$9:$AF$13,2,TRUE)</f>
        <v>D</v>
      </c>
      <c r="M4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69" s="2" t="str">
        <f>IF(OR(Table1[[#This Row],[math score]]&lt;$AC$5,Table1[[#This Row],[reading score]]&lt;$AC$5,Table1[[#This Row],[writing score]]&lt;$AC$5), "Failed atleast one", "Passed all")</f>
        <v>Passed all</v>
      </c>
      <c r="O469" t="str">
        <f>VLOOKUP(Table1[[#This Row],[average score]],$AE$9:$AG$13,3,TRUE)</f>
        <v>Needs improvements</v>
      </c>
    </row>
    <row r="470" spans="1:15" x14ac:dyDescent="0.2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t="s">
        <v>504</v>
      </c>
      <c r="J470">
        <f>SUM(Table1[[#This Row],[math score]:[writing score]])</f>
        <v>250</v>
      </c>
      <c r="K470" s="1">
        <f>Table1[[#This Row],[total score]]/3</f>
        <v>83.333333333333329</v>
      </c>
      <c r="L470" s="6" t="str">
        <f>VLOOKUP(Table1[[#This Row],[average score]],$AE$9:$AF$13,2,TRUE)</f>
        <v>B</v>
      </c>
      <c r="M4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70" s="2" t="str">
        <f>IF(OR(Table1[[#This Row],[math score]]&lt;$AC$5,Table1[[#This Row],[reading score]]&lt;$AC$5,Table1[[#This Row],[writing score]]&lt;$AC$5), "Failed atleast one", "Passed all")</f>
        <v>Passed all</v>
      </c>
      <c r="O470" t="str">
        <f>VLOOKUP(Table1[[#This Row],[average score]],$AE$9:$AG$13,3,TRUE)</f>
        <v xml:space="preserve">Good </v>
      </c>
    </row>
    <row r="471" spans="1:15" x14ac:dyDescent="0.2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t="s">
        <v>505</v>
      </c>
      <c r="J471">
        <f>SUM(Table1[[#This Row],[math score]:[writing score]])</f>
        <v>241</v>
      </c>
      <c r="K471" s="1">
        <f>Table1[[#This Row],[total score]]/3</f>
        <v>80.333333333333329</v>
      </c>
      <c r="L471" s="6" t="str">
        <f>VLOOKUP(Table1[[#This Row],[average score]],$AE$9:$AF$13,2,TRUE)</f>
        <v>B</v>
      </c>
      <c r="M4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71" s="2" t="str">
        <f>IF(OR(Table1[[#This Row],[math score]]&lt;$AC$5,Table1[[#This Row],[reading score]]&lt;$AC$5,Table1[[#This Row],[writing score]]&lt;$AC$5), "Failed atleast one", "Passed all")</f>
        <v>Passed all</v>
      </c>
      <c r="O471" t="str">
        <f>VLOOKUP(Table1[[#This Row],[average score]],$AE$9:$AG$13,3,TRUE)</f>
        <v xml:space="preserve">Good </v>
      </c>
    </row>
    <row r="472" spans="1:15" x14ac:dyDescent="0.2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t="s">
        <v>506</v>
      </c>
      <c r="J472">
        <f>SUM(Table1[[#This Row],[math score]:[writing score]])</f>
        <v>258</v>
      </c>
      <c r="K472" s="1">
        <f>Table1[[#This Row],[total score]]/3</f>
        <v>86</v>
      </c>
      <c r="L472" s="6" t="str">
        <f>VLOOKUP(Table1[[#This Row],[average score]],$AE$9:$AF$13,2,TRUE)</f>
        <v>B</v>
      </c>
      <c r="M4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72" s="2" t="str">
        <f>IF(OR(Table1[[#This Row],[math score]]&lt;$AC$5,Table1[[#This Row],[reading score]]&lt;$AC$5,Table1[[#This Row],[writing score]]&lt;$AC$5), "Failed atleast one", "Passed all")</f>
        <v>Passed all</v>
      </c>
      <c r="O472" t="str">
        <f>VLOOKUP(Table1[[#This Row],[average score]],$AE$9:$AG$13,3,TRUE)</f>
        <v xml:space="preserve">Good </v>
      </c>
    </row>
    <row r="473" spans="1:15" x14ac:dyDescent="0.2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t="s">
        <v>507</v>
      </c>
      <c r="J473">
        <f>SUM(Table1[[#This Row],[math score]:[writing score]])</f>
        <v>206</v>
      </c>
      <c r="K473" s="1">
        <f>Table1[[#This Row],[total score]]/3</f>
        <v>68.666666666666671</v>
      </c>
      <c r="L473" s="6" t="str">
        <f>VLOOKUP(Table1[[#This Row],[average score]],$AE$9:$AF$13,2,TRUE)</f>
        <v>D</v>
      </c>
      <c r="M4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73" s="2" t="str">
        <f>IF(OR(Table1[[#This Row],[math score]]&lt;$AC$5,Table1[[#This Row],[reading score]]&lt;$AC$5,Table1[[#This Row],[writing score]]&lt;$AC$5), "Failed atleast one", "Passed all")</f>
        <v>Passed all</v>
      </c>
      <c r="O473" t="str">
        <f>VLOOKUP(Table1[[#This Row],[average score]],$AE$9:$AG$13,3,TRUE)</f>
        <v>Needs improvements</v>
      </c>
    </row>
    <row r="474" spans="1:15" x14ac:dyDescent="0.2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t="s">
        <v>508</v>
      </c>
      <c r="J474">
        <f>SUM(Table1[[#This Row],[math score]:[writing score]])</f>
        <v>238</v>
      </c>
      <c r="K474" s="1">
        <f>Table1[[#This Row],[total score]]/3</f>
        <v>79.333333333333329</v>
      </c>
      <c r="L474" s="6" t="str">
        <f>VLOOKUP(Table1[[#This Row],[average score]],$AE$9:$AF$13,2,TRUE)</f>
        <v>C</v>
      </c>
      <c r="M4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74" s="2" t="str">
        <f>IF(OR(Table1[[#This Row],[math score]]&lt;$AC$5,Table1[[#This Row],[reading score]]&lt;$AC$5,Table1[[#This Row],[writing score]]&lt;$AC$5), "Failed atleast one", "Passed all")</f>
        <v>Passed all</v>
      </c>
      <c r="O474" t="str">
        <f>VLOOKUP(Table1[[#This Row],[average score]],$AE$9:$AG$13,3,TRUE)</f>
        <v>Satisfactory</v>
      </c>
    </row>
    <row r="475" spans="1:15" x14ac:dyDescent="0.2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t="s">
        <v>509</v>
      </c>
      <c r="J475">
        <f>SUM(Table1[[#This Row],[math score]:[writing score]])</f>
        <v>187</v>
      </c>
      <c r="K475" s="1">
        <f>Table1[[#This Row],[total score]]/3</f>
        <v>62.333333333333336</v>
      </c>
      <c r="L475" s="6" t="str">
        <f>VLOOKUP(Table1[[#This Row],[average score]],$AE$9:$AF$13,2,TRUE)</f>
        <v>D</v>
      </c>
      <c r="M4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75" s="2" t="str">
        <f>IF(OR(Table1[[#This Row],[math score]]&lt;$AC$5,Table1[[#This Row],[reading score]]&lt;$AC$5,Table1[[#This Row],[writing score]]&lt;$AC$5), "Failed atleast one", "Passed all")</f>
        <v>Failed atleast one</v>
      </c>
      <c r="O475" t="str">
        <f>VLOOKUP(Table1[[#This Row],[average score]],$AE$9:$AG$13,3,TRUE)</f>
        <v>Needs improvements</v>
      </c>
    </row>
    <row r="476" spans="1:15" x14ac:dyDescent="0.2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t="s">
        <v>510</v>
      </c>
      <c r="J476">
        <f>SUM(Table1[[#This Row],[math score]:[writing score]])</f>
        <v>271</v>
      </c>
      <c r="K476" s="1">
        <f>Table1[[#This Row],[total score]]/3</f>
        <v>90.333333333333329</v>
      </c>
      <c r="L476" s="6" t="str">
        <f>VLOOKUP(Table1[[#This Row],[average score]],$AE$9:$AF$13,2,TRUE)</f>
        <v>A</v>
      </c>
      <c r="M4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476" s="2" t="str">
        <f>IF(OR(Table1[[#This Row],[math score]]&lt;$AC$5,Table1[[#This Row],[reading score]]&lt;$AC$5,Table1[[#This Row],[writing score]]&lt;$AC$5), "Failed atleast one", "Passed all")</f>
        <v>Passed all</v>
      </c>
      <c r="O476" t="str">
        <f>VLOOKUP(Table1[[#This Row],[average score]],$AE$9:$AG$13,3,TRUE)</f>
        <v>Outstanding</v>
      </c>
    </row>
    <row r="477" spans="1:15" x14ac:dyDescent="0.2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t="s">
        <v>511</v>
      </c>
      <c r="J477">
        <f>SUM(Table1[[#This Row],[math score]:[writing score]])</f>
        <v>230</v>
      </c>
      <c r="K477" s="1">
        <f>Table1[[#This Row],[total score]]/3</f>
        <v>76.666666666666671</v>
      </c>
      <c r="L477" s="6" t="str">
        <f>VLOOKUP(Table1[[#This Row],[average score]],$AE$9:$AF$13,2,TRUE)</f>
        <v>C</v>
      </c>
      <c r="M4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77" s="2" t="str">
        <f>IF(OR(Table1[[#This Row],[math score]]&lt;$AC$5,Table1[[#This Row],[reading score]]&lt;$AC$5,Table1[[#This Row],[writing score]]&lt;$AC$5), "Failed atleast one", "Passed all")</f>
        <v>Passed all</v>
      </c>
      <c r="O477" t="str">
        <f>VLOOKUP(Table1[[#This Row],[average score]],$AE$9:$AG$13,3,TRUE)</f>
        <v>Satisfactory</v>
      </c>
    </row>
    <row r="478" spans="1:15" x14ac:dyDescent="0.2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t="s">
        <v>512</v>
      </c>
      <c r="J478">
        <f>SUM(Table1[[#This Row],[math score]:[writing score]])</f>
        <v>204</v>
      </c>
      <c r="K478" s="1">
        <f>Table1[[#This Row],[total score]]/3</f>
        <v>68</v>
      </c>
      <c r="L478" s="6" t="str">
        <f>VLOOKUP(Table1[[#This Row],[average score]],$AE$9:$AF$13,2,TRUE)</f>
        <v>D</v>
      </c>
      <c r="M4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78" s="2" t="str">
        <f>IF(OR(Table1[[#This Row],[math score]]&lt;$AC$5,Table1[[#This Row],[reading score]]&lt;$AC$5,Table1[[#This Row],[writing score]]&lt;$AC$5), "Failed atleast one", "Passed all")</f>
        <v>Passed all</v>
      </c>
      <c r="O478" t="str">
        <f>VLOOKUP(Table1[[#This Row],[average score]],$AE$9:$AG$13,3,TRUE)</f>
        <v>Needs improvements</v>
      </c>
    </row>
    <row r="479" spans="1:15" x14ac:dyDescent="0.2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t="s">
        <v>513</v>
      </c>
      <c r="J479">
        <f>SUM(Table1[[#This Row],[math score]:[writing score]])</f>
        <v>220</v>
      </c>
      <c r="K479" s="1">
        <f>Table1[[#This Row],[total score]]/3</f>
        <v>73.333333333333329</v>
      </c>
      <c r="L479" s="6" t="str">
        <f>VLOOKUP(Table1[[#This Row],[average score]],$AE$9:$AF$13,2,TRUE)</f>
        <v>C</v>
      </c>
      <c r="M4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79" s="2" t="str">
        <f>IF(OR(Table1[[#This Row],[math score]]&lt;$AC$5,Table1[[#This Row],[reading score]]&lt;$AC$5,Table1[[#This Row],[writing score]]&lt;$AC$5), "Failed atleast one", "Passed all")</f>
        <v>Passed all</v>
      </c>
      <c r="O479" t="str">
        <f>VLOOKUP(Table1[[#This Row],[average score]],$AE$9:$AG$13,3,TRUE)</f>
        <v>Satisfactory</v>
      </c>
    </row>
    <row r="480" spans="1:15" x14ac:dyDescent="0.2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t="s">
        <v>514</v>
      </c>
      <c r="J480">
        <f>SUM(Table1[[#This Row],[math score]:[writing score]])</f>
        <v>189</v>
      </c>
      <c r="K480" s="1">
        <f>Table1[[#This Row],[total score]]/3</f>
        <v>63</v>
      </c>
      <c r="L480" s="6" t="str">
        <f>VLOOKUP(Table1[[#This Row],[average score]],$AE$9:$AF$13,2,TRUE)</f>
        <v>D</v>
      </c>
      <c r="M4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80" s="2" t="str">
        <f>IF(OR(Table1[[#This Row],[math score]]&lt;$AC$5,Table1[[#This Row],[reading score]]&lt;$AC$5,Table1[[#This Row],[writing score]]&lt;$AC$5), "Failed atleast one", "Passed all")</f>
        <v>Failed atleast one</v>
      </c>
      <c r="O480" t="str">
        <f>VLOOKUP(Table1[[#This Row],[average score]],$AE$9:$AG$13,3,TRUE)</f>
        <v>Needs improvements</v>
      </c>
    </row>
    <row r="481" spans="1:15" x14ac:dyDescent="0.2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t="s">
        <v>515</v>
      </c>
      <c r="J481">
        <f>SUM(Table1[[#This Row],[math score]:[writing score]])</f>
        <v>214</v>
      </c>
      <c r="K481" s="1">
        <f>Table1[[#This Row],[total score]]/3</f>
        <v>71.333333333333329</v>
      </c>
      <c r="L481" s="6" t="str">
        <f>VLOOKUP(Table1[[#This Row],[average score]],$AE$9:$AF$13,2,TRUE)</f>
        <v>C</v>
      </c>
      <c r="M4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81" s="2" t="str">
        <f>IF(OR(Table1[[#This Row],[math score]]&lt;$AC$5,Table1[[#This Row],[reading score]]&lt;$AC$5,Table1[[#This Row],[writing score]]&lt;$AC$5), "Failed atleast one", "Passed all")</f>
        <v>Passed all</v>
      </c>
      <c r="O481" t="str">
        <f>VLOOKUP(Table1[[#This Row],[average score]],$AE$9:$AG$13,3,TRUE)</f>
        <v>Satisfactory</v>
      </c>
    </row>
    <row r="482" spans="1:15" x14ac:dyDescent="0.2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t="s">
        <v>516</v>
      </c>
      <c r="J482">
        <f>SUM(Table1[[#This Row],[math score]:[writing score]])</f>
        <v>212</v>
      </c>
      <c r="K482" s="1">
        <f>Table1[[#This Row],[total score]]/3</f>
        <v>70.666666666666671</v>
      </c>
      <c r="L482" s="6" t="str">
        <f>VLOOKUP(Table1[[#This Row],[average score]],$AE$9:$AF$13,2,TRUE)</f>
        <v>C</v>
      </c>
      <c r="M4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82" s="2" t="str">
        <f>IF(OR(Table1[[#This Row],[math score]]&lt;$AC$5,Table1[[#This Row],[reading score]]&lt;$AC$5,Table1[[#This Row],[writing score]]&lt;$AC$5), "Failed atleast one", "Passed all")</f>
        <v>Passed all</v>
      </c>
      <c r="O482" t="str">
        <f>VLOOKUP(Table1[[#This Row],[average score]],$AE$9:$AG$13,3,TRUE)</f>
        <v>Satisfactory</v>
      </c>
    </row>
    <row r="483" spans="1:15" x14ac:dyDescent="0.2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t="s">
        <v>517</v>
      </c>
      <c r="J483">
        <f>SUM(Table1[[#This Row],[math score]:[writing score]])</f>
        <v>167</v>
      </c>
      <c r="K483" s="1">
        <f>Table1[[#This Row],[total score]]/3</f>
        <v>55.666666666666664</v>
      </c>
      <c r="L483" s="6" t="str">
        <f>VLOOKUP(Table1[[#This Row],[average score]],$AE$9:$AF$13,2,TRUE)</f>
        <v>F</v>
      </c>
      <c r="M4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83" s="2" t="str">
        <f>IF(OR(Table1[[#This Row],[math score]]&lt;$AC$5,Table1[[#This Row],[reading score]]&lt;$AC$5,Table1[[#This Row],[writing score]]&lt;$AC$5), "Failed atleast one", "Passed all")</f>
        <v>Failed atleast one</v>
      </c>
      <c r="O483" t="str">
        <f>VLOOKUP(Table1[[#This Row],[average score]],$AE$9:$AG$13,3,TRUE)</f>
        <v>Poor</v>
      </c>
    </row>
    <row r="484" spans="1:15" x14ac:dyDescent="0.2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t="s">
        <v>518</v>
      </c>
      <c r="J484">
        <f>SUM(Table1[[#This Row],[math score]:[writing score]])</f>
        <v>197</v>
      </c>
      <c r="K484" s="1">
        <f>Table1[[#This Row],[total score]]/3</f>
        <v>65.666666666666671</v>
      </c>
      <c r="L484" s="6" t="str">
        <f>VLOOKUP(Table1[[#This Row],[average score]],$AE$9:$AF$13,2,TRUE)</f>
        <v>D</v>
      </c>
      <c r="M4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84" s="2" t="str">
        <f>IF(OR(Table1[[#This Row],[math score]]&lt;$AC$5,Table1[[#This Row],[reading score]]&lt;$AC$5,Table1[[#This Row],[writing score]]&lt;$AC$5), "Failed atleast one", "Passed all")</f>
        <v>Passed all</v>
      </c>
      <c r="O484" t="str">
        <f>VLOOKUP(Table1[[#This Row],[average score]],$AE$9:$AG$13,3,TRUE)</f>
        <v>Needs improvements</v>
      </c>
    </row>
    <row r="485" spans="1:15" x14ac:dyDescent="0.2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t="s">
        <v>519</v>
      </c>
      <c r="J485">
        <f>SUM(Table1[[#This Row],[math score]:[writing score]])</f>
        <v>157</v>
      </c>
      <c r="K485" s="1">
        <f>Table1[[#This Row],[total score]]/3</f>
        <v>52.333333333333336</v>
      </c>
      <c r="L485" s="6" t="str">
        <f>VLOOKUP(Table1[[#This Row],[average score]],$AE$9:$AF$13,2,TRUE)</f>
        <v>F</v>
      </c>
      <c r="M4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85" s="2" t="str">
        <f>IF(OR(Table1[[#This Row],[math score]]&lt;$AC$5,Table1[[#This Row],[reading score]]&lt;$AC$5,Table1[[#This Row],[writing score]]&lt;$AC$5), "Failed atleast one", "Passed all")</f>
        <v>Failed atleast one</v>
      </c>
      <c r="O485" t="str">
        <f>VLOOKUP(Table1[[#This Row],[average score]],$AE$9:$AG$13,3,TRUE)</f>
        <v>Poor</v>
      </c>
    </row>
    <row r="486" spans="1:15" x14ac:dyDescent="0.2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t="s">
        <v>520</v>
      </c>
      <c r="J486">
        <f>SUM(Table1[[#This Row],[math score]:[writing score]])</f>
        <v>155</v>
      </c>
      <c r="K486" s="1">
        <f>Table1[[#This Row],[total score]]/3</f>
        <v>51.666666666666664</v>
      </c>
      <c r="L486" s="6" t="str">
        <f>VLOOKUP(Table1[[#This Row],[average score]],$AE$9:$AF$13,2,TRUE)</f>
        <v>F</v>
      </c>
      <c r="M4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86" s="2" t="str">
        <f>IF(OR(Table1[[#This Row],[math score]]&lt;$AC$5,Table1[[#This Row],[reading score]]&lt;$AC$5,Table1[[#This Row],[writing score]]&lt;$AC$5), "Failed atleast one", "Passed all")</f>
        <v>Failed atleast one</v>
      </c>
      <c r="O486" t="str">
        <f>VLOOKUP(Table1[[#This Row],[average score]],$AE$9:$AG$13,3,TRUE)</f>
        <v>Poor</v>
      </c>
    </row>
    <row r="487" spans="1:15" x14ac:dyDescent="0.2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t="s">
        <v>521</v>
      </c>
      <c r="J487">
        <f>SUM(Table1[[#This Row],[math score]:[writing score]])</f>
        <v>215</v>
      </c>
      <c r="K487" s="1">
        <f>Table1[[#This Row],[total score]]/3</f>
        <v>71.666666666666671</v>
      </c>
      <c r="L487" s="6" t="str">
        <f>VLOOKUP(Table1[[#This Row],[average score]],$AE$9:$AF$13,2,TRUE)</f>
        <v>C</v>
      </c>
      <c r="M4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87" s="2" t="str">
        <f>IF(OR(Table1[[#This Row],[math score]]&lt;$AC$5,Table1[[#This Row],[reading score]]&lt;$AC$5,Table1[[#This Row],[writing score]]&lt;$AC$5), "Failed atleast one", "Passed all")</f>
        <v>Passed all</v>
      </c>
      <c r="O487" t="str">
        <f>VLOOKUP(Table1[[#This Row],[average score]],$AE$9:$AG$13,3,TRUE)</f>
        <v>Satisfactory</v>
      </c>
    </row>
    <row r="488" spans="1:15" x14ac:dyDescent="0.2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t="s">
        <v>522</v>
      </c>
      <c r="J488">
        <f>SUM(Table1[[#This Row],[math score]:[writing score]])</f>
        <v>164</v>
      </c>
      <c r="K488" s="1">
        <f>Table1[[#This Row],[total score]]/3</f>
        <v>54.666666666666664</v>
      </c>
      <c r="L488" s="6" t="str">
        <f>VLOOKUP(Table1[[#This Row],[average score]],$AE$9:$AF$13,2,TRUE)</f>
        <v>F</v>
      </c>
      <c r="M4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88" s="2" t="str">
        <f>IF(OR(Table1[[#This Row],[math score]]&lt;$AC$5,Table1[[#This Row],[reading score]]&lt;$AC$5,Table1[[#This Row],[writing score]]&lt;$AC$5), "Failed atleast one", "Passed all")</f>
        <v>Failed atleast one</v>
      </c>
      <c r="O488" t="str">
        <f>VLOOKUP(Table1[[#This Row],[average score]],$AE$9:$AG$13,3,TRUE)</f>
        <v>Poor</v>
      </c>
    </row>
    <row r="489" spans="1:15" x14ac:dyDescent="0.2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t="s">
        <v>523</v>
      </c>
      <c r="J489">
        <f>SUM(Table1[[#This Row],[math score]:[writing score]])</f>
        <v>209</v>
      </c>
      <c r="K489" s="1">
        <f>Table1[[#This Row],[total score]]/3</f>
        <v>69.666666666666671</v>
      </c>
      <c r="L489" s="6" t="str">
        <f>VLOOKUP(Table1[[#This Row],[average score]],$AE$9:$AF$13,2,TRUE)</f>
        <v>D</v>
      </c>
      <c r="M4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89" s="2" t="str">
        <f>IF(OR(Table1[[#This Row],[math score]]&lt;$AC$5,Table1[[#This Row],[reading score]]&lt;$AC$5,Table1[[#This Row],[writing score]]&lt;$AC$5), "Failed atleast one", "Passed all")</f>
        <v>Passed all</v>
      </c>
      <c r="O489" t="str">
        <f>VLOOKUP(Table1[[#This Row],[average score]],$AE$9:$AG$13,3,TRUE)</f>
        <v>Needs improvements</v>
      </c>
    </row>
    <row r="490" spans="1:15" x14ac:dyDescent="0.2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t="s">
        <v>524</v>
      </c>
      <c r="J490">
        <f>SUM(Table1[[#This Row],[math score]:[writing score]])</f>
        <v>174</v>
      </c>
      <c r="K490" s="1">
        <f>Table1[[#This Row],[total score]]/3</f>
        <v>58</v>
      </c>
      <c r="L490" s="6" t="str">
        <f>VLOOKUP(Table1[[#This Row],[average score]],$AE$9:$AF$13,2,TRUE)</f>
        <v>F</v>
      </c>
      <c r="M4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90" s="2" t="str">
        <f>IF(OR(Table1[[#This Row],[math score]]&lt;$AC$5,Table1[[#This Row],[reading score]]&lt;$AC$5,Table1[[#This Row],[writing score]]&lt;$AC$5), "Failed atleast one", "Passed all")</f>
        <v>Failed atleast one</v>
      </c>
      <c r="O490" t="str">
        <f>VLOOKUP(Table1[[#This Row],[average score]],$AE$9:$AG$13,3,TRUE)</f>
        <v>Poor</v>
      </c>
    </row>
    <row r="491" spans="1:15" x14ac:dyDescent="0.2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t="s">
        <v>525</v>
      </c>
      <c r="J491">
        <f>SUM(Table1[[#This Row],[math score]:[writing score]])</f>
        <v>243</v>
      </c>
      <c r="K491" s="1">
        <f>Table1[[#This Row],[total score]]/3</f>
        <v>81</v>
      </c>
      <c r="L491" s="6" t="str">
        <f>VLOOKUP(Table1[[#This Row],[average score]],$AE$9:$AF$13,2,TRUE)</f>
        <v>B</v>
      </c>
      <c r="M4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91" s="2" t="str">
        <f>IF(OR(Table1[[#This Row],[math score]]&lt;$AC$5,Table1[[#This Row],[reading score]]&lt;$AC$5,Table1[[#This Row],[writing score]]&lt;$AC$5), "Failed atleast one", "Passed all")</f>
        <v>Passed all</v>
      </c>
      <c r="O491" t="str">
        <f>VLOOKUP(Table1[[#This Row],[average score]],$AE$9:$AG$13,3,TRUE)</f>
        <v xml:space="preserve">Good </v>
      </c>
    </row>
    <row r="492" spans="1:15" x14ac:dyDescent="0.2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t="s">
        <v>526</v>
      </c>
      <c r="J492">
        <f>SUM(Table1[[#This Row],[math score]:[writing score]])</f>
        <v>226</v>
      </c>
      <c r="K492" s="1">
        <f>Table1[[#This Row],[total score]]/3</f>
        <v>75.333333333333329</v>
      </c>
      <c r="L492" s="6" t="str">
        <f>VLOOKUP(Table1[[#This Row],[average score]],$AE$9:$AF$13,2,TRUE)</f>
        <v>C</v>
      </c>
      <c r="M4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92" s="2" t="str">
        <f>IF(OR(Table1[[#This Row],[math score]]&lt;$AC$5,Table1[[#This Row],[reading score]]&lt;$AC$5,Table1[[#This Row],[writing score]]&lt;$AC$5), "Failed atleast one", "Passed all")</f>
        <v>Passed all</v>
      </c>
      <c r="O492" t="str">
        <f>VLOOKUP(Table1[[#This Row],[average score]],$AE$9:$AG$13,3,TRUE)</f>
        <v>Satisfactory</v>
      </c>
    </row>
    <row r="493" spans="1:15" x14ac:dyDescent="0.2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t="s">
        <v>527</v>
      </c>
      <c r="J493">
        <f>SUM(Table1[[#This Row],[math score]:[writing score]])</f>
        <v>198</v>
      </c>
      <c r="K493" s="1">
        <f>Table1[[#This Row],[total score]]/3</f>
        <v>66</v>
      </c>
      <c r="L493" s="6" t="str">
        <f>VLOOKUP(Table1[[#This Row],[average score]],$AE$9:$AF$13,2,TRUE)</f>
        <v>D</v>
      </c>
      <c r="M4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93" s="2" t="str">
        <f>IF(OR(Table1[[#This Row],[math score]]&lt;$AC$5,Table1[[#This Row],[reading score]]&lt;$AC$5,Table1[[#This Row],[writing score]]&lt;$AC$5), "Failed atleast one", "Passed all")</f>
        <v>Passed all</v>
      </c>
      <c r="O493" t="str">
        <f>VLOOKUP(Table1[[#This Row],[average score]],$AE$9:$AG$13,3,TRUE)</f>
        <v>Needs improvements</v>
      </c>
    </row>
    <row r="494" spans="1:15" x14ac:dyDescent="0.2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t="s">
        <v>528</v>
      </c>
      <c r="J494">
        <f>SUM(Table1[[#This Row],[math score]:[writing score]])</f>
        <v>256</v>
      </c>
      <c r="K494" s="1">
        <f>Table1[[#This Row],[total score]]/3</f>
        <v>85.333333333333329</v>
      </c>
      <c r="L494" s="6" t="str">
        <f>VLOOKUP(Table1[[#This Row],[average score]],$AE$9:$AF$13,2,TRUE)</f>
        <v>B</v>
      </c>
      <c r="M4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94" s="2" t="str">
        <f>IF(OR(Table1[[#This Row],[math score]]&lt;$AC$5,Table1[[#This Row],[reading score]]&lt;$AC$5,Table1[[#This Row],[writing score]]&lt;$AC$5), "Failed atleast one", "Passed all")</f>
        <v>Passed all</v>
      </c>
      <c r="O494" t="str">
        <f>VLOOKUP(Table1[[#This Row],[average score]],$AE$9:$AG$13,3,TRUE)</f>
        <v xml:space="preserve">Good </v>
      </c>
    </row>
    <row r="495" spans="1:15" x14ac:dyDescent="0.2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t="s">
        <v>529</v>
      </c>
      <c r="J495">
        <f>SUM(Table1[[#This Row],[math score]:[writing score]])</f>
        <v>259</v>
      </c>
      <c r="K495" s="1">
        <f>Table1[[#This Row],[total score]]/3</f>
        <v>86.333333333333329</v>
      </c>
      <c r="L495" s="6" t="str">
        <f>VLOOKUP(Table1[[#This Row],[average score]],$AE$9:$AF$13,2,TRUE)</f>
        <v>B</v>
      </c>
      <c r="M4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495" s="2" t="str">
        <f>IF(OR(Table1[[#This Row],[math score]]&lt;$AC$5,Table1[[#This Row],[reading score]]&lt;$AC$5,Table1[[#This Row],[writing score]]&lt;$AC$5), "Failed atleast one", "Passed all")</f>
        <v>Passed all</v>
      </c>
      <c r="O495" t="str">
        <f>VLOOKUP(Table1[[#This Row],[average score]],$AE$9:$AG$13,3,TRUE)</f>
        <v xml:space="preserve">Good </v>
      </c>
    </row>
    <row r="496" spans="1:15" x14ac:dyDescent="0.2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t="s">
        <v>530</v>
      </c>
      <c r="J496">
        <f>SUM(Table1[[#This Row],[math score]:[writing score]])</f>
        <v>186</v>
      </c>
      <c r="K496" s="1">
        <f>Table1[[#This Row],[total score]]/3</f>
        <v>62</v>
      </c>
      <c r="L496" s="6" t="str">
        <f>VLOOKUP(Table1[[#This Row],[average score]],$AE$9:$AF$13,2,TRUE)</f>
        <v>D</v>
      </c>
      <c r="M4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96" s="2" t="str">
        <f>IF(OR(Table1[[#This Row],[math score]]&lt;$AC$5,Table1[[#This Row],[reading score]]&lt;$AC$5,Table1[[#This Row],[writing score]]&lt;$AC$5), "Failed atleast one", "Passed all")</f>
        <v>Failed atleast one</v>
      </c>
      <c r="O496" t="str">
        <f>VLOOKUP(Table1[[#This Row],[average score]],$AE$9:$AG$13,3,TRUE)</f>
        <v>Needs improvements</v>
      </c>
    </row>
    <row r="497" spans="1:15" x14ac:dyDescent="0.2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t="s">
        <v>531</v>
      </c>
      <c r="J497">
        <f>SUM(Table1[[#This Row],[math score]:[writing score]])</f>
        <v>198</v>
      </c>
      <c r="K497" s="1">
        <f>Table1[[#This Row],[total score]]/3</f>
        <v>66</v>
      </c>
      <c r="L497" s="6" t="str">
        <f>VLOOKUP(Table1[[#This Row],[average score]],$AE$9:$AF$13,2,TRUE)</f>
        <v>D</v>
      </c>
      <c r="M4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497" s="2" t="str">
        <f>IF(OR(Table1[[#This Row],[math score]]&lt;$AC$5,Table1[[#This Row],[reading score]]&lt;$AC$5,Table1[[#This Row],[writing score]]&lt;$AC$5), "Failed atleast one", "Passed all")</f>
        <v>Passed all</v>
      </c>
      <c r="O497" t="str">
        <f>VLOOKUP(Table1[[#This Row],[average score]],$AE$9:$AG$13,3,TRUE)</f>
        <v>Needs improvements</v>
      </c>
    </row>
    <row r="498" spans="1:15" x14ac:dyDescent="0.2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t="s">
        <v>532</v>
      </c>
      <c r="J498">
        <f>SUM(Table1[[#This Row],[math score]:[writing score]])</f>
        <v>154</v>
      </c>
      <c r="K498" s="1">
        <f>Table1[[#This Row],[total score]]/3</f>
        <v>51.333333333333336</v>
      </c>
      <c r="L498" s="6" t="str">
        <f>VLOOKUP(Table1[[#This Row],[average score]],$AE$9:$AF$13,2,TRUE)</f>
        <v>F</v>
      </c>
      <c r="M4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498" s="2" t="str">
        <f>IF(OR(Table1[[#This Row],[math score]]&lt;$AC$5,Table1[[#This Row],[reading score]]&lt;$AC$5,Table1[[#This Row],[writing score]]&lt;$AC$5), "Failed atleast one", "Passed all")</f>
        <v>Failed atleast one</v>
      </c>
      <c r="O498" t="str">
        <f>VLOOKUP(Table1[[#This Row],[average score]],$AE$9:$AG$13,3,TRUE)</f>
        <v>Poor</v>
      </c>
    </row>
    <row r="499" spans="1:15" x14ac:dyDescent="0.2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t="s">
        <v>533</v>
      </c>
      <c r="J499">
        <f>SUM(Table1[[#This Row],[math score]:[writing score]])</f>
        <v>213</v>
      </c>
      <c r="K499" s="1">
        <f>Table1[[#This Row],[total score]]/3</f>
        <v>71</v>
      </c>
      <c r="L499" s="6" t="str">
        <f>VLOOKUP(Table1[[#This Row],[average score]],$AE$9:$AF$13,2,TRUE)</f>
        <v>C</v>
      </c>
      <c r="M4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499" s="2" t="str">
        <f>IF(OR(Table1[[#This Row],[math score]]&lt;$AC$5,Table1[[#This Row],[reading score]]&lt;$AC$5,Table1[[#This Row],[writing score]]&lt;$AC$5), "Failed atleast one", "Passed all")</f>
        <v>Failed atleast one</v>
      </c>
      <c r="O499" t="str">
        <f>VLOOKUP(Table1[[#This Row],[average score]],$AE$9:$AG$13,3,TRUE)</f>
        <v>Satisfactory</v>
      </c>
    </row>
    <row r="500" spans="1:15" x14ac:dyDescent="0.2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t="s">
        <v>534</v>
      </c>
      <c r="J500">
        <f>SUM(Table1[[#This Row],[math score]:[writing score]])</f>
        <v>203</v>
      </c>
      <c r="K500" s="1">
        <f>Table1[[#This Row],[total score]]/3</f>
        <v>67.666666666666671</v>
      </c>
      <c r="L500" s="6" t="str">
        <f>VLOOKUP(Table1[[#This Row],[average score]],$AE$9:$AF$13,2,TRUE)</f>
        <v>D</v>
      </c>
      <c r="M5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00" s="2" t="str">
        <f>IF(OR(Table1[[#This Row],[math score]]&lt;$AC$5,Table1[[#This Row],[reading score]]&lt;$AC$5,Table1[[#This Row],[writing score]]&lt;$AC$5), "Failed atleast one", "Passed all")</f>
        <v>Passed all</v>
      </c>
      <c r="O500" t="str">
        <f>VLOOKUP(Table1[[#This Row],[average score]],$AE$9:$AG$13,3,TRUE)</f>
        <v>Needs improvements</v>
      </c>
    </row>
    <row r="501" spans="1:15" x14ac:dyDescent="0.2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t="s">
        <v>535</v>
      </c>
      <c r="J501">
        <f>SUM(Table1[[#This Row],[math score]:[writing score]])</f>
        <v>219</v>
      </c>
      <c r="K501" s="1">
        <f>Table1[[#This Row],[total score]]/3</f>
        <v>73</v>
      </c>
      <c r="L501" s="6" t="str">
        <f>VLOOKUP(Table1[[#This Row],[average score]],$AE$9:$AF$13,2,TRUE)</f>
        <v>C</v>
      </c>
      <c r="M5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01" s="2" t="str">
        <f>IF(OR(Table1[[#This Row],[math score]]&lt;$AC$5,Table1[[#This Row],[reading score]]&lt;$AC$5,Table1[[#This Row],[writing score]]&lt;$AC$5), "Failed atleast one", "Passed all")</f>
        <v>Passed all</v>
      </c>
      <c r="O501" t="str">
        <f>VLOOKUP(Table1[[#This Row],[average score]],$AE$9:$AG$13,3,TRUE)</f>
        <v>Satisfactory</v>
      </c>
    </row>
    <row r="502" spans="1:15" x14ac:dyDescent="0.2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t="s">
        <v>536</v>
      </c>
      <c r="J502">
        <f>SUM(Table1[[#This Row],[math score]:[writing score]])</f>
        <v>235</v>
      </c>
      <c r="K502" s="1">
        <f>Table1[[#This Row],[total score]]/3</f>
        <v>78.333333333333329</v>
      </c>
      <c r="L502" s="6" t="str">
        <f>VLOOKUP(Table1[[#This Row],[average score]],$AE$9:$AF$13,2,TRUE)</f>
        <v>C</v>
      </c>
      <c r="M5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02" s="2" t="str">
        <f>IF(OR(Table1[[#This Row],[math score]]&lt;$AC$5,Table1[[#This Row],[reading score]]&lt;$AC$5,Table1[[#This Row],[writing score]]&lt;$AC$5), "Failed atleast one", "Passed all")</f>
        <v>Passed all</v>
      </c>
      <c r="O502" t="str">
        <f>VLOOKUP(Table1[[#This Row],[average score]],$AE$9:$AG$13,3,TRUE)</f>
        <v>Satisfactory</v>
      </c>
    </row>
    <row r="503" spans="1:15" x14ac:dyDescent="0.2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t="s">
        <v>537</v>
      </c>
      <c r="J503">
        <f>SUM(Table1[[#This Row],[math score]:[writing score]])</f>
        <v>273</v>
      </c>
      <c r="K503" s="1">
        <f>Table1[[#This Row],[total score]]/3</f>
        <v>91</v>
      </c>
      <c r="L503" s="6" t="str">
        <f>VLOOKUP(Table1[[#This Row],[average score]],$AE$9:$AF$13,2,TRUE)</f>
        <v>A</v>
      </c>
      <c r="M5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03" s="2" t="str">
        <f>IF(OR(Table1[[#This Row],[math score]]&lt;$AC$5,Table1[[#This Row],[reading score]]&lt;$AC$5,Table1[[#This Row],[writing score]]&lt;$AC$5), "Failed atleast one", "Passed all")</f>
        <v>Passed all</v>
      </c>
      <c r="O503" t="str">
        <f>VLOOKUP(Table1[[#This Row],[average score]],$AE$9:$AG$13,3,TRUE)</f>
        <v>Outstanding</v>
      </c>
    </row>
    <row r="504" spans="1:15" x14ac:dyDescent="0.2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t="s">
        <v>538</v>
      </c>
      <c r="J504">
        <f>SUM(Table1[[#This Row],[math score]:[writing score]])</f>
        <v>178</v>
      </c>
      <c r="K504" s="1">
        <f>Table1[[#This Row],[total score]]/3</f>
        <v>59.333333333333336</v>
      </c>
      <c r="L504" s="6" t="str">
        <f>VLOOKUP(Table1[[#This Row],[average score]],$AE$9:$AF$13,2,TRUE)</f>
        <v>F</v>
      </c>
      <c r="M5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04" s="2" t="str">
        <f>IF(OR(Table1[[#This Row],[math score]]&lt;$AC$5,Table1[[#This Row],[reading score]]&lt;$AC$5,Table1[[#This Row],[writing score]]&lt;$AC$5), "Failed atleast one", "Passed all")</f>
        <v>Failed atleast one</v>
      </c>
      <c r="O504" t="str">
        <f>VLOOKUP(Table1[[#This Row],[average score]],$AE$9:$AG$13,3,TRUE)</f>
        <v>Poor</v>
      </c>
    </row>
    <row r="505" spans="1:15" x14ac:dyDescent="0.2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t="s">
        <v>539</v>
      </c>
      <c r="J505">
        <f>SUM(Table1[[#This Row],[math score]:[writing score]])</f>
        <v>276</v>
      </c>
      <c r="K505" s="1">
        <f>Table1[[#This Row],[total score]]/3</f>
        <v>92</v>
      </c>
      <c r="L505" s="6" t="str">
        <f>VLOOKUP(Table1[[#This Row],[average score]],$AE$9:$AF$13,2,TRUE)</f>
        <v>A</v>
      </c>
      <c r="M5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05" s="2" t="str">
        <f>IF(OR(Table1[[#This Row],[math score]]&lt;$AC$5,Table1[[#This Row],[reading score]]&lt;$AC$5,Table1[[#This Row],[writing score]]&lt;$AC$5), "Failed atleast one", "Passed all")</f>
        <v>Passed all</v>
      </c>
      <c r="O505" t="str">
        <f>VLOOKUP(Table1[[#This Row],[average score]],$AE$9:$AG$13,3,TRUE)</f>
        <v>Outstanding</v>
      </c>
    </row>
    <row r="506" spans="1:15" x14ac:dyDescent="0.2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t="s">
        <v>540</v>
      </c>
      <c r="J506">
        <f>SUM(Table1[[#This Row],[math score]:[writing score]])</f>
        <v>153</v>
      </c>
      <c r="K506" s="1">
        <f>Table1[[#This Row],[total score]]/3</f>
        <v>51</v>
      </c>
      <c r="L506" s="6" t="str">
        <f>VLOOKUP(Table1[[#This Row],[average score]],$AE$9:$AF$13,2,TRUE)</f>
        <v>F</v>
      </c>
      <c r="M5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06" s="2" t="str">
        <f>IF(OR(Table1[[#This Row],[math score]]&lt;$AC$5,Table1[[#This Row],[reading score]]&lt;$AC$5,Table1[[#This Row],[writing score]]&lt;$AC$5), "Failed atleast one", "Passed all")</f>
        <v>Failed atleast one</v>
      </c>
      <c r="O506" t="str">
        <f>VLOOKUP(Table1[[#This Row],[average score]],$AE$9:$AG$13,3,TRUE)</f>
        <v>Poor</v>
      </c>
    </row>
    <row r="507" spans="1:15" x14ac:dyDescent="0.2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t="s">
        <v>541</v>
      </c>
      <c r="J507">
        <f>SUM(Table1[[#This Row],[math score]:[writing score]])</f>
        <v>244</v>
      </c>
      <c r="K507" s="1">
        <f>Table1[[#This Row],[total score]]/3</f>
        <v>81.333333333333329</v>
      </c>
      <c r="L507" s="6" t="str">
        <f>VLOOKUP(Table1[[#This Row],[average score]],$AE$9:$AF$13,2,TRUE)</f>
        <v>B</v>
      </c>
      <c r="M5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07" s="2" t="str">
        <f>IF(OR(Table1[[#This Row],[math score]]&lt;$AC$5,Table1[[#This Row],[reading score]]&lt;$AC$5,Table1[[#This Row],[writing score]]&lt;$AC$5), "Failed atleast one", "Passed all")</f>
        <v>Passed all</v>
      </c>
      <c r="O507" t="str">
        <f>VLOOKUP(Table1[[#This Row],[average score]],$AE$9:$AG$13,3,TRUE)</f>
        <v xml:space="preserve">Good </v>
      </c>
    </row>
    <row r="508" spans="1:15" x14ac:dyDescent="0.2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t="s">
        <v>542</v>
      </c>
      <c r="J508">
        <f>SUM(Table1[[#This Row],[math score]:[writing score]])</f>
        <v>204</v>
      </c>
      <c r="K508" s="1">
        <f>Table1[[#This Row],[total score]]/3</f>
        <v>68</v>
      </c>
      <c r="L508" s="6" t="str">
        <f>VLOOKUP(Table1[[#This Row],[average score]],$AE$9:$AF$13,2,TRUE)</f>
        <v>D</v>
      </c>
      <c r="M5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08" s="2" t="str">
        <f>IF(OR(Table1[[#This Row],[math score]]&lt;$AC$5,Table1[[#This Row],[reading score]]&lt;$AC$5,Table1[[#This Row],[writing score]]&lt;$AC$5), "Failed atleast one", "Passed all")</f>
        <v>Passed all</v>
      </c>
      <c r="O508" t="str">
        <f>VLOOKUP(Table1[[#This Row],[average score]],$AE$9:$AG$13,3,TRUE)</f>
        <v>Needs improvements</v>
      </c>
    </row>
    <row r="509" spans="1:15" x14ac:dyDescent="0.2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t="s">
        <v>543</v>
      </c>
      <c r="J509">
        <f>SUM(Table1[[#This Row],[math score]:[writing score]])</f>
        <v>168</v>
      </c>
      <c r="K509" s="1">
        <f>Table1[[#This Row],[total score]]/3</f>
        <v>56</v>
      </c>
      <c r="L509" s="6" t="str">
        <f>VLOOKUP(Table1[[#This Row],[average score]],$AE$9:$AF$13,2,TRUE)</f>
        <v>F</v>
      </c>
      <c r="M5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09" s="2" t="str">
        <f>IF(OR(Table1[[#This Row],[math score]]&lt;$AC$5,Table1[[#This Row],[reading score]]&lt;$AC$5,Table1[[#This Row],[writing score]]&lt;$AC$5), "Failed atleast one", "Passed all")</f>
        <v>Failed atleast one</v>
      </c>
      <c r="O509" t="str">
        <f>VLOOKUP(Table1[[#This Row],[average score]],$AE$9:$AG$13,3,TRUE)</f>
        <v>Poor</v>
      </c>
    </row>
    <row r="510" spans="1:15" x14ac:dyDescent="0.2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t="s">
        <v>544</v>
      </c>
      <c r="J510">
        <f>SUM(Table1[[#This Row],[math score]:[writing score]])</f>
        <v>234</v>
      </c>
      <c r="K510" s="1">
        <f>Table1[[#This Row],[total score]]/3</f>
        <v>78</v>
      </c>
      <c r="L510" s="6" t="str">
        <f>VLOOKUP(Table1[[#This Row],[average score]],$AE$9:$AF$13,2,TRUE)</f>
        <v>C</v>
      </c>
      <c r="M5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10" s="2" t="str">
        <f>IF(OR(Table1[[#This Row],[math score]]&lt;$AC$5,Table1[[#This Row],[reading score]]&lt;$AC$5,Table1[[#This Row],[writing score]]&lt;$AC$5), "Failed atleast one", "Passed all")</f>
        <v>Passed all</v>
      </c>
      <c r="O510" t="str">
        <f>VLOOKUP(Table1[[#This Row],[average score]],$AE$9:$AG$13,3,TRUE)</f>
        <v>Satisfactory</v>
      </c>
    </row>
    <row r="511" spans="1:15" x14ac:dyDescent="0.2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t="s">
        <v>545</v>
      </c>
      <c r="J511">
        <f>SUM(Table1[[#This Row],[math score]:[writing score]])</f>
        <v>265</v>
      </c>
      <c r="K511" s="1">
        <f>Table1[[#This Row],[total score]]/3</f>
        <v>88.333333333333329</v>
      </c>
      <c r="L511" s="6" t="str">
        <f>VLOOKUP(Table1[[#This Row],[average score]],$AE$9:$AF$13,2,TRUE)</f>
        <v>B</v>
      </c>
      <c r="M5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11" s="2" t="str">
        <f>IF(OR(Table1[[#This Row],[math score]]&lt;$AC$5,Table1[[#This Row],[reading score]]&lt;$AC$5,Table1[[#This Row],[writing score]]&lt;$AC$5), "Failed atleast one", "Passed all")</f>
        <v>Passed all</v>
      </c>
      <c r="O511" t="str">
        <f>VLOOKUP(Table1[[#This Row],[average score]],$AE$9:$AG$13,3,TRUE)</f>
        <v xml:space="preserve">Good </v>
      </c>
    </row>
    <row r="512" spans="1:15" x14ac:dyDescent="0.2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t="s">
        <v>546</v>
      </c>
      <c r="J512">
        <f>SUM(Table1[[#This Row],[math score]:[writing score]])</f>
        <v>220</v>
      </c>
      <c r="K512" s="1">
        <f>Table1[[#This Row],[total score]]/3</f>
        <v>73.333333333333329</v>
      </c>
      <c r="L512" s="6" t="str">
        <f>VLOOKUP(Table1[[#This Row],[average score]],$AE$9:$AF$13,2,TRUE)</f>
        <v>C</v>
      </c>
      <c r="M5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12" s="2" t="str">
        <f>IF(OR(Table1[[#This Row],[math score]]&lt;$AC$5,Table1[[#This Row],[reading score]]&lt;$AC$5,Table1[[#This Row],[writing score]]&lt;$AC$5), "Failed atleast one", "Passed all")</f>
        <v>Passed all</v>
      </c>
      <c r="O512" t="str">
        <f>VLOOKUP(Table1[[#This Row],[average score]],$AE$9:$AG$13,3,TRUE)</f>
        <v>Satisfactory</v>
      </c>
    </row>
    <row r="513" spans="1:15" x14ac:dyDescent="0.2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t="s">
        <v>547</v>
      </c>
      <c r="J513">
        <f>SUM(Table1[[#This Row],[math score]:[writing score]])</f>
        <v>157</v>
      </c>
      <c r="K513" s="1">
        <f>Table1[[#This Row],[total score]]/3</f>
        <v>52.333333333333336</v>
      </c>
      <c r="L513" s="6" t="str">
        <f>VLOOKUP(Table1[[#This Row],[average score]],$AE$9:$AF$13,2,TRUE)</f>
        <v>F</v>
      </c>
      <c r="M5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13" s="2" t="str">
        <f>IF(OR(Table1[[#This Row],[math score]]&lt;$AC$5,Table1[[#This Row],[reading score]]&lt;$AC$5,Table1[[#This Row],[writing score]]&lt;$AC$5), "Failed atleast one", "Passed all")</f>
        <v>Failed atleast one</v>
      </c>
      <c r="O513" t="str">
        <f>VLOOKUP(Table1[[#This Row],[average score]],$AE$9:$AG$13,3,TRUE)</f>
        <v>Poor</v>
      </c>
    </row>
    <row r="514" spans="1:15" x14ac:dyDescent="0.2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t="s">
        <v>548</v>
      </c>
      <c r="J514">
        <f>SUM(Table1[[#This Row],[math score]:[writing score]])</f>
        <v>163</v>
      </c>
      <c r="K514" s="1">
        <f>Table1[[#This Row],[total score]]/3</f>
        <v>54.333333333333336</v>
      </c>
      <c r="L514" s="6" t="str">
        <f>VLOOKUP(Table1[[#This Row],[average score]],$AE$9:$AF$13,2,TRUE)</f>
        <v>F</v>
      </c>
      <c r="M5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14" s="2" t="str">
        <f>IF(OR(Table1[[#This Row],[math score]]&lt;$AC$5,Table1[[#This Row],[reading score]]&lt;$AC$5,Table1[[#This Row],[writing score]]&lt;$AC$5), "Failed atleast one", "Passed all")</f>
        <v>Failed atleast one</v>
      </c>
      <c r="O514" t="str">
        <f>VLOOKUP(Table1[[#This Row],[average score]],$AE$9:$AG$13,3,TRUE)</f>
        <v>Poor</v>
      </c>
    </row>
    <row r="515" spans="1:15" x14ac:dyDescent="0.2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t="s">
        <v>549</v>
      </c>
      <c r="J515">
        <f>SUM(Table1[[#This Row],[math score]:[writing score]])</f>
        <v>177</v>
      </c>
      <c r="K515" s="1">
        <f>Table1[[#This Row],[total score]]/3</f>
        <v>59</v>
      </c>
      <c r="L515" s="6" t="str">
        <f>VLOOKUP(Table1[[#This Row],[average score]],$AE$9:$AF$13,2,TRUE)</f>
        <v>F</v>
      </c>
      <c r="M5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15" s="2" t="str">
        <f>IF(OR(Table1[[#This Row],[math score]]&lt;$AC$5,Table1[[#This Row],[reading score]]&lt;$AC$5,Table1[[#This Row],[writing score]]&lt;$AC$5), "Failed atleast one", "Passed all")</f>
        <v>Failed atleast one</v>
      </c>
      <c r="O515" t="str">
        <f>VLOOKUP(Table1[[#This Row],[average score]],$AE$9:$AG$13,3,TRUE)</f>
        <v>Poor</v>
      </c>
    </row>
    <row r="516" spans="1:15" x14ac:dyDescent="0.2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t="s">
        <v>550</v>
      </c>
      <c r="J516">
        <f>SUM(Table1[[#This Row],[math score]:[writing score]])</f>
        <v>268</v>
      </c>
      <c r="K516" s="1">
        <f>Table1[[#This Row],[total score]]/3</f>
        <v>89.333333333333329</v>
      </c>
      <c r="L516" s="6" t="str">
        <f>VLOOKUP(Table1[[#This Row],[average score]],$AE$9:$AF$13,2,TRUE)</f>
        <v>B</v>
      </c>
      <c r="M5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16" s="2" t="str">
        <f>IF(OR(Table1[[#This Row],[math score]]&lt;$AC$5,Table1[[#This Row],[reading score]]&lt;$AC$5,Table1[[#This Row],[writing score]]&lt;$AC$5), "Failed atleast one", "Passed all")</f>
        <v>Passed all</v>
      </c>
      <c r="O516" t="str">
        <f>VLOOKUP(Table1[[#This Row],[average score]],$AE$9:$AG$13,3,TRUE)</f>
        <v xml:space="preserve">Good </v>
      </c>
    </row>
    <row r="517" spans="1:15" x14ac:dyDescent="0.2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t="s">
        <v>551</v>
      </c>
      <c r="J517">
        <f>SUM(Table1[[#This Row],[math score]:[writing score]])</f>
        <v>248</v>
      </c>
      <c r="K517" s="1">
        <f>Table1[[#This Row],[total score]]/3</f>
        <v>82.666666666666671</v>
      </c>
      <c r="L517" s="6" t="str">
        <f>VLOOKUP(Table1[[#This Row],[average score]],$AE$9:$AF$13,2,TRUE)</f>
        <v>B</v>
      </c>
      <c r="M5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17" s="2" t="str">
        <f>IF(OR(Table1[[#This Row],[math score]]&lt;$AC$5,Table1[[#This Row],[reading score]]&lt;$AC$5,Table1[[#This Row],[writing score]]&lt;$AC$5), "Failed atleast one", "Passed all")</f>
        <v>Passed all</v>
      </c>
      <c r="O517" t="str">
        <f>VLOOKUP(Table1[[#This Row],[average score]],$AE$9:$AG$13,3,TRUE)</f>
        <v xml:space="preserve">Good </v>
      </c>
    </row>
    <row r="518" spans="1:15" x14ac:dyDescent="0.2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t="s">
        <v>552</v>
      </c>
      <c r="J518">
        <f>SUM(Table1[[#This Row],[math score]:[writing score]])</f>
        <v>247</v>
      </c>
      <c r="K518" s="1">
        <f>Table1[[#This Row],[total score]]/3</f>
        <v>82.333333333333329</v>
      </c>
      <c r="L518" s="6" t="str">
        <f>VLOOKUP(Table1[[#This Row],[average score]],$AE$9:$AF$13,2,TRUE)</f>
        <v>B</v>
      </c>
      <c r="M5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18" s="2" t="str">
        <f>IF(OR(Table1[[#This Row],[math score]]&lt;$AC$5,Table1[[#This Row],[reading score]]&lt;$AC$5,Table1[[#This Row],[writing score]]&lt;$AC$5), "Failed atleast one", "Passed all")</f>
        <v>Passed all</v>
      </c>
      <c r="O518" t="str">
        <f>VLOOKUP(Table1[[#This Row],[average score]],$AE$9:$AG$13,3,TRUE)</f>
        <v xml:space="preserve">Good </v>
      </c>
    </row>
    <row r="519" spans="1:15" x14ac:dyDescent="0.2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t="s">
        <v>553</v>
      </c>
      <c r="J519">
        <f>SUM(Table1[[#This Row],[math score]:[writing score]])</f>
        <v>213</v>
      </c>
      <c r="K519" s="1">
        <f>Table1[[#This Row],[total score]]/3</f>
        <v>71</v>
      </c>
      <c r="L519" s="6" t="str">
        <f>VLOOKUP(Table1[[#This Row],[average score]],$AE$9:$AF$13,2,TRUE)</f>
        <v>C</v>
      </c>
      <c r="M5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19" s="2" t="str">
        <f>IF(OR(Table1[[#This Row],[math score]]&lt;$AC$5,Table1[[#This Row],[reading score]]&lt;$AC$5,Table1[[#This Row],[writing score]]&lt;$AC$5), "Failed atleast one", "Passed all")</f>
        <v>Passed all</v>
      </c>
      <c r="O519" t="str">
        <f>VLOOKUP(Table1[[#This Row],[average score]],$AE$9:$AG$13,3,TRUE)</f>
        <v>Satisfactory</v>
      </c>
    </row>
    <row r="520" spans="1:15" x14ac:dyDescent="0.2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t="s">
        <v>554</v>
      </c>
      <c r="J520">
        <f>SUM(Table1[[#This Row],[math score]:[writing score]])</f>
        <v>222</v>
      </c>
      <c r="K520" s="1">
        <f>Table1[[#This Row],[total score]]/3</f>
        <v>74</v>
      </c>
      <c r="L520" s="6" t="str">
        <f>VLOOKUP(Table1[[#This Row],[average score]],$AE$9:$AF$13,2,TRUE)</f>
        <v>C</v>
      </c>
      <c r="M5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20" s="2" t="str">
        <f>IF(OR(Table1[[#This Row],[math score]]&lt;$AC$5,Table1[[#This Row],[reading score]]&lt;$AC$5,Table1[[#This Row],[writing score]]&lt;$AC$5), "Failed atleast one", "Passed all")</f>
        <v>Passed all</v>
      </c>
      <c r="O520" t="str">
        <f>VLOOKUP(Table1[[#This Row],[average score]],$AE$9:$AG$13,3,TRUE)</f>
        <v>Satisfactory</v>
      </c>
    </row>
    <row r="521" spans="1:15" x14ac:dyDescent="0.2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t="s">
        <v>555</v>
      </c>
      <c r="J521">
        <f>SUM(Table1[[#This Row],[math score]:[writing score]])</f>
        <v>224</v>
      </c>
      <c r="K521" s="1">
        <f>Table1[[#This Row],[total score]]/3</f>
        <v>74.666666666666671</v>
      </c>
      <c r="L521" s="6" t="str">
        <f>VLOOKUP(Table1[[#This Row],[average score]],$AE$9:$AF$13,2,TRUE)</f>
        <v>C</v>
      </c>
      <c r="M5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21" s="2" t="str">
        <f>IF(OR(Table1[[#This Row],[math score]]&lt;$AC$5,Table1[[#This Row],[reading score]]&lt;$AC$5,Table1[[#This Row],[writing score]]&lt;$AC$5), "Failed atleast one", "Passed all")</f>
        <v>Passed all</v>
      </c>
      <c r="O521" t="str">
        <f>VLOOKUP(Table1[[#This Row],[average score]],$AE$9:$AG$13,3,TRUE)</f>
        <v>Satisfactory</v>
      </c>
    </row>
    <row r="522" spans="1:15" x14ac:dyDescent="0.2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t="s">
        <v>556</v>
      </c>
      <c r="J522">
        <f>SUM(Table1[[#This Row],[math score]:[writing score]])</f>
        <v>172</v>
      </c>
      <c r="K522" s="1">
        <f>Table1[[#This Row],[total score]]/3</f>
        <v>57.333333333333336</v>
      </c>
      <c r="L522" s="6" t="str">
        <f>VLOOKUP(Table1[[#This Row],[average score]],$AE$9:$AF$13,2,TRUE)</f>
        <v>F</v>
      </c>
      <c r="M5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2" s="2" t="str">
        <f>IF(OR(Table1[[#This Row],[math score]]&lt;$AC$5,Table1[[#This Row],[reading score]]&lt;$AC$5,Table1[[#This Row],[writing score]]&lt;$AC$5), "Failed atleast one", "Passed all")</f>
        <v>Failed atleast one</v>
      </c>
      <c r="O522" t="str">
        <f>VLOOKUP(Table1[[#This Row],[average score]],$AE$9:$AG$13,3,TRUE)</f>
        <v>Poor</v>
      </c>
    </row>
    <row r="523" spans="1:15" x14ac:dyDescent="0.2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t="s">
        <v>557</v>
      </c>
      <c r="J523">
        <f>SUM(Table1[[#This Row],[math score]:[writing score]])</f>
        <v>261</v>
      </c>
      <c r="K523" s="1">
        <f>Table1[[#This Row],[total score]]/3</f>
        <v>87</v>
      </c>
      <c r="L523" s="6" t="str">
        <f>VLOOKUP(Table1[[#This Row],[average score]],$AE$9:$AF$13,2,TRUE)</f>
        <v>B</v>
      </c>
      <c r="M5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23" s="2" t="str">
        <f>IF(OR(Table1[[#This Row],[math score]]&lt;$AC$5,Table1[[#This Row],[reading score]]&lt;$AC$5,Table1[[#This Row],[writing score]]&lt;$AC$5), "Failed atleast one", "Passed all")</f>
        <v>Passed all</v>
      </c>
      <c r="O523" t="str">
        <f>VLOOKUP(Table1[[#This Row],[average score]],$AE$9:$AG$13,3,TRUE)</f>
        <v xml:space="preserve">Good </v>
      </c>
    </row>
    <row r="524" spans="1:15" x14ac:dyDescent="0.2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t="s">
        <v>558</v>
      </c>
      <c r="J524">
        <f>SUM(Table1[[#This Row],[math score]:[writing score]])</f>
        <v>184</v>
      </c>
      <c r="K524" s="1">
        <f>Table1[[#This Row],[total score]]/3</f>
        <v>61.333333333333336</v>
      </c>
      <c r="L524" s="6" t="str">
        <f>VLOOKUP(Table1[[#This Row],[average score]],$AE$9:$AF$13,2,TRUE)</f>
        <v>D</v>
      </c>
      <c r="M5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24" s="2" t="str">
        <f>IF(OR(Table1[[#This Row],[math score]]&lt;$AC$5,Table1[[#This Row],[reading score]]&lt;$AC$5,Table1[[#This Row],[writing score]]&lt;$AC$5), "Failed atleast one", "Passed all")</f>
        <v>Failed atleast one</v>
      </c>
      <c r="O524" t="str">
        <f>VLOOKUP(Table1[[#This Row],[average score]],$AE$9:$AG$13,3,TRUE)</f>
        <v>Needs improvements</v>
      </c>
    </row>
    <row r="525" spans="1:15" x14ac:dyDescent="0.2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t="s">
        <v>559</v>
      </c>
      <c r="J525">
        <f>SUM(Table1[[#This Row],[math score]:[writing score]])</f>
        <v>163</v>
      </c>
      <c r="K525" s="1">
        <f>Table1[[#This Row],[total score]]/3</f>
        <v>54.333333333333336</v>
      </c>
      <c r="L525" s="6" t="str">
        <f>VLOOKUP(Table1[[#This Row],[average score]],$AE$9:$AF$13,2,TRUE)</f>
        <v>F</v>
      </c>
      <c r="M5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5" s="2" t="str">
        <f>IF(OR(Table1[[#This Row],[math score]]&lt;$AC$5,Table1[[#This Row],[reading score]]&lt;$AC$5,Table1[[#This Row],[writing score]]&lt;$AC$5), "Failed atleast one", "Passed all")</f>
        <v>Failed atleast one</v>
      </c>
      <c r="O525" t="str">
        <f>VLOOKUP(Table1[[#This Row],[average score]],$AE$9:$AG$13,3,TRUE)</f>
        <v>Poor</v>
      </c>
    </row>
    <row r="526" spans="1:15" x14ac:dyDescent="0.2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t="s">
        <v>560</v>
      </c>
      <c r="J526">
        <f>SUM(Table1[[#This Row],[math score]:[writing score]])</f>
        <v>154</v>
      </c>
      <c r="K526" s="1">
        <f>Table1[[#This Row],[total score]]/3</f>
        <v>51.333333333333336</v>
      </c>
      <c r="L526" s="6" t="str">
        <f>VLOOKUP(Table1[[#This Row],[average score]],$AE$9:$AF$13,2,TRUE)</f>
        <v>F</v>
      </c>
      <c r="M5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6" s="2" t="str">
        <f>IF(OR(Table1[[#This Row],[math score]]&lt;$AC$5,Table1[[#This Row],[reading score]]&lt;$AC$5,Table1[[#This Row],[writing score]]&lt;$AC$5), "Failed atleast one", "Passed all")</f>
        <v>Failed atleast one</v>
      </c>
      <c r="O526" t="str">
        <f>VLOOKUP(Table1[[#This Row],[average score]],$AE$9:$AG$13,3,TRUE)</f>
        <v>Poor</v>
      </c>
    </row>
    <row r="527" spans="1:15" x14ac:dyDescent="0.2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t="s">
        <v>561</v>
      </c>
      <c r="J527">
        <f>SUM(Table1[[#This Row],[math score]:[writing score]])</f>
        <v>187</v>
      </c>
      <c r="K527" s="1">
        <f>Table1[[#This Row],[total score]]/3</f>
        <v>62.333333333333336</v>
      </c>
      <c r="L527" s="6" t="str">
        <f>VLOOKUP(Table1[[#This Row],[average score]],$AE$9:$AF$13,2,TRUE)</f>
        <v>D</v>
      </c>
      <c r="M5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27" s="2" t="str">
        <f>IF(OR(Table1[[#This Row],[math score]]&lt;$AC$5,Table1[[#This Row],[reading score]]&lt;$AC$5,Table1[[#This Row],[writing score]]&lt;$AC$5), "Failed atleast one", "Passed all")</f>
        <v>Failed atleast one</v>
      </c>
      <c r="O527" t="str">
        <f>VLOOKUP(Table1[[#This Row],[average score]],$AE$9:$AG$13,3,TRUE)</f>
        <v>Needs improvements</v>
      </c>
    </row>
    <row r="528" spans="1:15" x14ac:dyDescent="0.2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t="s">
        <v>562</v>
      </c>
      <c r="J528">
        <f>SUM(Table1[[#This Row],[math score]:[writing score]])</f>
        <v>177</v>
      </c>
      <c r="K528" s="1">
        <f>Table1[[#This Row],[total score]]/3</f>
        <v>59</v>
      </c>
      <c r="L528" s="6" t="str">
        <f>VLOOKUP(Table1[[#This Row],[average score]],$AE$9:$AF$13,2,TRUE)</f>
        <v>F</v>
      </c>
      <c r="M5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8" s="2" t="str">
        <f>IF(OR(Table1[[#This Row],[math score]]&lt;$AC$5,Table1[[#This Row],[reading score]]&lt;$AC$5,Table1[[#This Row],[writing score]]&lt;$AC$5), "Failed atleast one", "Passed all")</f>
        <v>Failed atleast one</v>
      </c>
      <c r="O528" t="str">
        <f>VLOOKUP(Table1[[#This Row],[average score]],$AE$9:$AG$13,3,TRUE)</f>
        <v>Poor</v>
      </c>
    </row>
    <row r="529" spans="1:15" x14ac:dyDescent="0.2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t="s">
        <v>563</v>
      </c>
      <c r="J529">
        <f>SUM(Table1[[#This Row],[math score]:[writing score]])</f>
        <v>132</v>
      </c>
      <c r="K529" s="1">
        <f>Table1[[#This Row],[total score]]/3</f>
        <v>44</v>
      </c>
      <c r="L529" s="6" t="str">
        <f>VLOOKUP(Table1[[#This Row],[average score]],$AE$9:$AF$13,2,TRUE)</f>
        <v>F</v>
      </c>
      <c r="M5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29" s="2" t="str">
        <f>IF(OR(Table1[[#This Row],[math score]]&lt;$AC$5,Table1[[#This Row],[reading score]]&lt;$AC$5,Table1[[#This Row],[writing score]]&lt;$AC$5), "Failed atleast one", "Passed all")</f>
        <v>Failed atleast one</v>
      </c>
      <c r="O529" t="str">
        <f>VLOOKUP(Table1[[#This Row],[average score]],$AE$9:$AG$13,3,TRUE)</f>
        <v>Poor</v>
      </c>
    </row>
    <row r="530" spans="1:15" x14ac:dyDescent="0.2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t="s">
        <v>564</v>
      </c>
      <c r="J530">
        <f>SUM(Table1[[#This Row],[math score]:[writing score]])</f>
        <v>117</v>
      </c>
      <c r="K530" s="1">
        <f>Table1[[#This Row],[total score]]/3</f>
        <v>39</v>
      </c>
      <c r="L530" s="6" t="str">
        <f>VLOOKUP(Table1[[#This Row],[average score]],$AE$9:$AF$13,2,TRUE)</f>
        <v>F</v>
      </c>
      <c r="M5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30" s="2" t="str">
        <f>IF(OR(Table1[[#This Row],[math score]]&lt;$AC$5,Table1[[#This Row],[reading score]]&lt;$AC$5,Table1[[#This Row],[writing score]]&lt;$AC$5), "Failed atleast one", "Passed all")</f>
        <v>Failed atleast one</v>
      </c>
      <c r="O530" t="str">
        <f>VLOOKUP(Table1[[#This Row],[average score]],$AE$9:$AG$13,3,TRUE)</f>
        <v>Poor</v>
      </c>
    </row>
    <row r="531" spans="1:15" x14ac:dyDescent="0.2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t="s">
        <v>565</v>
      </c>
      <c r="J531">
        <f>SUM(Table1[[#This Row],[math score]:[writing score]])</f>
        <v>206</v>
      </c>
      <c r="K531" s="1">
        <f>Table1[[#This Row],[total score]]/3</f>
        <v>68.666666666666671</v>
      </c>
      <c r="L531" s="6" t="str">
        <f>VLOOKUP(Table1[[#This Row],[average score]],$AE$9:$AF$13,2,TRUE)</f>
        <v>D</v>
      </c>
      <c r="M5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31" s="2" t="str">
        <f>IF(OR(Table1[[#This Row],[math score]]&lt;$AC$5,Table1[[#This Row],[reading score]]&lt;$AC$5,Table1[[#This Row],[writing score]]&lt;$AC$5), "Failed atleast one", "Passed all")</f>
        <v>Passed all</v>
      </c>
      <c r="O531" t="str">
        <f>VLOOKUP(Table1[[#This Row],[average score]],$AE$9:$AG$13,3,TRUE)</f>
        <v>Needs improvements</v>
      </c>
    </row>
    <row r="532" spans="1:15" x14ac:dyDescent="0.2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t="s">
        <v>566</v>
      </c>
      <c r="J532">
        <f>SUM(Table1[[#This Row],[math score]:[writing score]])</f>
        <v>208</v>
      </c>
      <c r="K532" s="1">
        <f>Table1[[#This Row],[total score]]/3</f>
        <v>69.333333333333329</v>
      </c>
      <c r="L532" s="6" t="str">
        <f>VLOOKUP(Table1[[#This Row],[average score]],$AE$9:$AF$13,2,TRUE)</f>
        <v>D</v>
      </c>
      <c r="M5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32" s="2" t="str">
        <f>IF(OR(Table1[[#This Row],[math score]]&lt;$AC$5,Table1[[#This Row],[reading score]]&lt;$AC$5,Table1[[#This Row],[writing score]]&lt;$AC$5), "Failed atleast one", "Passed all")</f>
        <v>Passed all</v>
      </c>
      <c r="O532" t="str">
        <f>VLOOKUP(Table1[[#This Row],[average score]],$AE$9:$AG$13,3,TRUE)</f>
        <v>Needs improvements</v>
      </c>
    </row>
    <row r="533" spans="1:15" x14ac:dyDescent="0.2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t="s">
        <v>567</v>
      </c>
      <c r="J533">
        <f>SUM(Table1[[#This Row],[math score]:[writing score]])</f>
        <v>154</v>
      </c>
      <c r="K533" s="1">
        <f>Table1[[#This Row],[total score]]/3</f>
        <v>51.333333333333336</v>
      </c>
      <c r="L533" s="6" t="str">
        <f>VLOOKUP(Table1[[#This Row],[average score]],$AE$9:$AF$13,2,TRUE)</f>
        <v>F</v>
      </c>
      <c r="M5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33" s="2" t="str">
        <f>IF(OR(Table1[[#This Row],[math score]]&lt;$AC$5,Table1[[#This Row],[reading score]]&lt;$AC$5,Table1[[#This Row],[writing score]]&lt;$AC$5), "Failed atleast one", "Passed all")</f>
        <v>Failed atleast one</v>
      </c>
      <c r="O533" t="str">
        <f>VLOOKUP(Table1[[#This Row],[average score]],$AE$9:$AG$13,3,TRUE)</f>
        <v>Poor</v>
      </c>
    </row>
    <row r="534" spans="1:15" x14ac:dyDescent="0.2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t="s">
        <v>568</v>
      </c>
      <c r="J534">
        <f>SUM(Table1[[#This Row],[math score]:[writing score]])</f>
        <v>181</v>
      </c>
      <c r="K534" s="1">
        <f>Table1[[#This Row],[total score]]/3</f>
        <v>60.333333333333336</v>
      </c>
      <c r="L534" s="6" t="str">
        <f>VLOOKUP(Table1[[#This Row],[average score]],$AE$9:$AF$13,2,TRUE)</f>
        <v>D</v>
      </c>
      <c r="M5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34" s="2" t="str">
        <f>IF(OR(Table1[[#This Row],[math score]]&lt;$AC$5,Table1[[#This Row],[reading score]]&lt;$AC$5,Table1[[#This Row],[writing score]]&lt;$AC$5), "Failed atleast one", "Passed all")</f>
        <v>Failed atleast one</v>
      </c>
      <c r="O534" t="str">
        <f>VLOOKUP(Table1[[#This Row],[average score]],$AE$9:$AG$13,3,TRUE)</f>
        <v>Needs improvements</v>
      </c>
    </row>
    <row r="535" spans="1:15" x14ac:dyDescent="0.2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t="s">
        <v>569</v>
      </c>
      <c r="J535">
        <f>SUM(Table1[[#This Row],[math score]:[writing score]])</f>
        <v>261</v>
      </c>
      <c r="K535" s="1">
        <f>Table1[[#This Row],[total score]]/3</f>
        <v>87</v>
      </c>
      <c r="L535" s="6" t="str">
        <f>VLOOKUP(Table1[[#This Row],[average score]],$AE$9:$AF$13,2,TRUE)</f>
        <v>B</v>
      </c>
      <c r="M5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35" s="2" t="str">
        <f>IF(OR(Table1[[#This Row],[math score]]&lt;$AC$5,Table1[[#This Row],[reading score]]&lt;$AC$5,Table1[[#This Row],[writing score]]&lt;$AC$5), "Failed atleast one", "Passed all")</f>
        <v>Passed all</v>
      </c>
      <c r="O535" t="str">
        <f>VLOOKUP(Table1[[#This Row],[average score]],$AE$9:$AG$13,3,TRUE)</f>
        <v xml:space="preserve">Good </v>
      </c>
    </row>
    <row r="536" spans="1:15" x14ac:dyDescent="0.2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t="s">
        <v>570</v>
      </c>
      <c r="J536">
        <f>SUM(Table1[[#This Row],[math score]:[writing score]])</f>
        <v>210</v>
      </c>
      <c r="K536" s="1">
        <f>Table1[[#This Row],[total score]]/3</f>
        <v>70</v>
      </c>
      <c r="L536" s="6" t="str">
        <f>VLOOKUP(Table1[[#This Row],[average score]],$AE$9:$AF$13,2,TRUE)</f>
        <v>C</v>
      </c>
      <c r="M5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36" s="2" t="str">
        <f>IF(OR(Table1[[#This Row],[math score]]&lt;$AC$5,Table1[[#This Row],[reading score]]&lt;$AC$5,Table1[[#This Row],[writing score]]&lt;$AC$5), "Failed atleast one", "Passed all")</f>
        <v>Passed all</v>
      </c>
      <c r="O536" t="str">
        <f>VLOOKUP(Table1[[#This Row],[average score]],$AE$9:$AG$13,3,TRUE)</f>
        <v>Satisfactory</v>
      </c>
    </row>
    <row r="537" spans="1:15" x14ac:dyDescent="0.2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t="s">
        <v>571</v>
      </c>
      <c r="J537">
        <f>SUM(Table1[[#This Row],[math score]:[writing score]])</f>
        <v>232</v>
      </c>
      <c r="K537" s="1">
        <f>Table1[[#This Row],[total score]]/3</f>
        <v>77.333333333333329</v>
      </c>
      <c r="L537" s="6" t="str">
        <f>VLOOKUP(Table1[[#This Row],[average score]],$AE$9:$AF$13,2,TRUE)</f>
        <v>C</v>
      </c>
      <c r="M5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37" s="2" t="str">
        <f>IF(OR(Table1[[#This Row],[math score]]&lt;$AC$5,Table1[[#This Row],[reading score]]&lt;$AC$5,Table1[[#This Row],[writing score]]&lt;$AC$5), "Failed atleast one", "Passed all")</f>
        <v>Passed all</v>
      </c>
      <c r="O537" t="str">
        <f>VLOOKUP(Table1[[#This Row],[average score]],$AE$9:$AG$13,3,TRUE)</f>
        <v>Satisfactory</v>
      </c>
    </row>
    <row r="538" spans="1:15" x14ac:dyDescent="0.2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t="s">
        <v>572</v>
      </c>
      <c r="J538">
        <f>SUM(Table1[[#This Row],[math score]:[writing score]])</f>
        <v>169</v>
      </c>
      <c r="K538" s="1">
        <f>Table1[[#This Row],[total score]]/3</f>
        <v>56.333333333333336</v>
      </c>
      <c r="L538" s="6" t="str">
        <f>VLOOKUP(Table1[[#This Row],[average score]],$AE$9:$AF$13,2,TRUE)</f>
        <v>F</v>
      </c>
      <c r="M5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38" s="2" t="str">
        <f>IF(OR(Table1[[#This Row],[math score]]&lt;$AC$5,Table1[[#This Row],[reading score]]&lt;$AC$5,Table1[[#This Row],[writing score]]&lt;$AC$5), "Failed atleast one", "Passed all")</f>
        <v>Failed atleast one</v>
      </c>
      <c r="O538" t="str">
        <f>VLOOKUP(Table1[[#This Row],[average score]],$AE$9:$AG$13,3,TRUE)</f>
        <v>Poor</v>
      </c>
    </row>
    <row r="539" spans="1:15" x14ac:dyDescent="0.2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t="s">
        <v>573</v>
      </c>
      <c r="J539">
        <f>SUM(Table1[[#This Row],[math score]:[writing score]])</f>
        <v>179</v>
      </c>
      <c r="K539" s="1">
        <f>Table1[[#This Row],[total score]]/3</f>
        <v>59.666666666666664</v>
      </c>
      <c r="L539" s="6" t="str">
        <f>VLOOKUP(Table1[[#This Row],[average score]],$AE$9:$AF$13,2,TRUE)</f>
        <v>F</v>
      </c>
      <c r="M5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39" s="2" t="str">
        <f>IF(OR(Table1[[#This Row],[math score]]&lt;$AC$5,Table1[[#This Row],[reading score]]&lt;$AC$5,Table1[[#This Row],[writing score]]&lt;$AC$5), "Failed atleast one", "Passed all")</f>
        <v>Failed atleast one</v>
      </c>
      <c r="O539" t="str">
        <f>VLOOKUP(Table1[[#This Row],[average score]],$AE$9:$AG$13,3,TRUE)</f>
        <v>Poor</v>
      </c>
    </row>
    <row r="540" spans="1:15" x14ac:dyDescent="0.2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t="s">
        <v>574</v>
      </c>
      <c r="J540">
        <f>SUM(Table1[[#This Row],[math score]:[writing score]])</f>
        <v>222</v>
      </c>
      <c r="K540" s="1">
        <f>Table1[[#This Row],[total score]]/3</f>
        <v>74</v>
      </c>
      <c r="L540" s="6" t="str">
        <f>VLOOKUP(Table1[[#This Row],[average score]],$AE$9:$AF$13,2,TRUE)</f>
        <v>C</v>
      </c>
      <c r="M5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40" s="2" t="str">
        <f>IF(OR(Table1[[#This Row],[math score]]&lt;$AC$5,Table1[[#This Row],[reading score]]&lt;$AC$5,Table1[[#This Row],[writing score]]&lt;$AC$5), "Failed atleast one", "Passed all")</f>
        <v>Passed all</v>
      </c>
      <c r="O540" t="str">
        <f>VLOOKUP(Table1[[#This Row],[average score]],$AE$9:$AG$13,3,TRUE)</f>
        <v>Satisfactory</v>
      </c>
    </row>
    <row r="541" spans="1:15" x14ac:dyDescent="0.2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t="s">
        <v>575</v>
      </c>
      <c r="J541">
        <f>SUM(Table1[[#This Row],[math score]:[writing score]])</f>
        <v>275</v>
      </c>
      <c r="K541" s="1">
        <f>Table1[[#This Row],[total score]]/3</f>
        <v>91.666666666666671</v>
      </c>
      <c r="L541" s="6" t="str">
        <f>VLOOKUP(Table1[[#This Row],[average score]],$AE$9:$AF$13,2,TRUE)</f>
        <v>A</v>
      </c>
      <c r="M5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41" s="2" t="str">
        <f>IF(OR(Table1[[#This Row],[math score]]&lt;$AC$5,Table1[[#This Row],[reading score]]&lt;$AC$5,Table1[[#This Row],[writing score]]&lt;$AC$5), "Failed atleast one", "Passed all")</f>
        <v>Passed all</v>
      </c>
      <c r="O541" t="str">
        <f>VLOOKUP(Table1[[#This Row],[average score]],$AE$9:$AG$13,3,TRUE)</f>
        <v>Outstanding</v>
      </c>
    </row>
    <row r="542" spans="1:15" x14ac:dyDescent="0.2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t="s">
        <v>576</v>
      </c>
      <c r="J542">
        <f>SUM(Table1[[#This Row],[math score]:[writing score]])</f>
        <v>212</v>
      </c>
      <c r="K542" s="1">
        <f>Table1[[#This Row],[total score]]/3</f>
        <v>70.666666666666671</v>
      </c>
      <c r="L542" s="6" t="str">
        <f>VLOOKUP(Table1[[#This Row],[average score]],$AE$9:$AF$13,2,TRUE)</f>
        <v>C</v>
      </c>
      <c r="M5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42" s="2" t="str">
        <f>IF(OR(Table1[[#This Row],[math score]]&lt;$AC$5,Table1[[#This Row],[reading score]]&lt;$AC$5,Table1[[#This Row],[writing score]]&lt;$AC$5), "Failed atleast one", "Passed all")</f>
        <v>Passed all</v>
      </c>
      <c r="O542" t="str">
        <f>VLOOKUP(Table1[[#This Row],[average score]],$AE$9:$AG$13,3,TRUE)</f>
        <v>Satisfactory</v>
      </c>
    </row>
    <row r="543" spans="1:15" x14ac:dyDescent="0.2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t="s">
        <v>577</v>
      </c>
      <c r="J543">
        <f>SUM(Table1[[#This Row],[math score]:[writing score]])</f>
        <v>241</v>
      </c>
      <c r="K543" s="1">
        <f>Table1[[#This Row],[total score]]/3</f>
        <v>80.333333333333329</v>
      </c>
      <c r="L543" s="6" t="str">
        <f>VLOOKUP(Table1[[#This Row],[average score]],$AE$9:$AF$13,2,TRUE)</f>
        <v>B</v>
      </c>
      <c r="M5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43" s="2" t="str">
        <f>IF(OR(Table1[[#This Row],[math score]]&lt;$AC$5,Table1[[#This Row],[reading score]]&lt;$AC$5,Table1[[#This Row],[writing score]]&lt;$AC$5), "Failed atleast one", "Passed all")</f>
        <v>Passed all</v>
      </c>
      <c r="O543" t="str">
        <f>VLOOKUP(Table1[[#This Row],[average score]],$AE$9:$AG$13,3,TRUE)</f>
        <v xml:space="preserve">Good </v>
      </c>
    </row>
    <row r="544" spans="1:15" x14ac:dyDescent="0.2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t="s">
        <v>578</v>
      </c>
      <c r="J544">
        <f>SUM(Table1[[#This Row],[math score]:[writing score]])</f>
        <v>237</v>
      </c>
      <c r="K544" s="1">
        <f>Table1[[#This Row],[total score]]/3</f>
        <v>79</v>
      </c>
      <c r="L544" s="6" t="str">
        <f>VLOOKUP(Table1[[#This Row],[average score]],$AE$9:$AF$13,2,TRUE)</f>
        <v>C</v>
      </c>
      <c r="M5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44" s="2" t="str">
        <f>IF(OR(Table1[[#This Row],[math score]]&lt;$AC$5,Table1[[#This Row],[reading score]]&lt;$AC$5,Table1[[#This Row],[writing score]]&lt;$AC$5), "Failed atleast one", "Passed all")</f>
        <v>Passed all</v>
      </c>
      <c r="O544" t="str">
        <f>VLOOKUP(Table1[[#This Row],[average score]],$AE$9:$AG$13,3,TRUE)</f>
        <v>Satisfactory</v>
      </c>
    </row>
    <row r="545" spans="1:15" x14ac:dyDescent="0.2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t="s">
        <v>579</v>
      </c>
      <c r="J545">
        <f>SUM(Table1[[#This Row],[math score]:[writing score]])</f>
        <v>266</v>
      </c>
      <c r="K545" s="1">
        <f>Table1[[#This Row],[total score]]/3</f>
        <v>88.666666666666671</v>
      </c>
      <c r="L545" s="6" t="str">
        <f>VLOOKUP(Table1[[#This Row],[average score]],$AE$9:$AF$13,2,TRUE)</f>
        <v>B</v>
      </c>
      <c r="M5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45" s="2" t="str">
        <f>IF(OR(Table1[[#This Row],[math score]]&lt;$AC$5,Table1[[#This Row],[reading score]]&lt;$AC$5,Table1[[#This Row],[writing score]]&lt;$AC$5), "Failed atleast one", "Passed all")</f>
        <v>Passed all</v>
      </c>
      <c r="O545" t="str">
        <f>VLOOKUP(Table1[[#This Row],[average score]],$AE$9:$AG$13,3,TRUE)</f>
        <v xml:space="preserve">Good </v>
      </c>
    </row>
    <row r="546" spans="1:15" x14ac:dyDescent="0.2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t="s">
        <v>580</v>
      </c>
      <c r="J546">
        <f>SUM(Table1[[#This Row],[math score]:[writing score]])</f>
        <v>193</v>
      </c>
      <c r="K546" s="1">
        <f>Table1[[#This Row],[total score]]/3</f>
        <v>64.333333333333329</v>
      </c>
      <c r="L546" s="6" t="str">
        <f>VLOOKUP(Table1[[#This Row],[average score]],$AE$9:$AF$13,2,TRUE)</f>
        <v>D</v>
      </c>
      <c r="M5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46" s="2" t="str">
        <f>IF(OR(Table1[[#This Row],[math score]]&lt;$AC$5,Table1[[#This Row],[reading score]]&lt;$AC$5,Table1[[#This Row],[writing score]]&lt;$AC$5), "Failed atleast one", "Passed all")</f>
        <v>Passed all</v>
      </c>
      <c r="O546" t="str">
        <f>VLOOKUP(Table1[[#This Row],[average score]],$AE$9:$AG$13,3,TRUE)</f>
        <v>Needs improvements</v>
      </c>
    </row>
    <row r="547" spans="1:15" x14ac:dyDescent="0.2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t="s">
        <v>581</v>
      </c>
      <c r="J547">
        <f>SUM(Table1[[#This Row],[math score]:[writing score]])</f>
        <v>241</v>
      </c>
      <c r="K547" s="1">
        <f>Table1[[#This Row],[total score]]/3</f>
        <v>80.333333333333329</v>
      </c>
      <c r="L547" s="6" t="str">
        <f>VLOOKUP(Table1[[#This Row],[average score]],$AE$9:$AF$13,2,TRUE)</f>
        <v>B</v>
      </c>
      <c r="M5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47" s="2" t="str">
        <f>IF(OR(Table1[[#This Row],[math score]]&lt;$AC$5,Table1[[#This Row],[reading score]]&lt;$AC$5,Table1[[#This Row],[writing score]]&lt;$AC$5), "Failed atleast one", "Passed all")</f>
        <v>Passed all</v>
      </c>
      <c r="O547" t="str">
        <f>VLOOKUP(Table1[[#This Row],[average score]],$AE$9:$AG$13,3,TRUE)</f>
        <v xml:space="preserve">Good </v>
      </c>
    </row>
    <row r="548" spans="1:15" x14ac:dyDescent="0.2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t="s">
        <v>582</v>
      </c>
      <c r="J548">
        <f>SUM(Table1[[#This Row],[math score]:[writing score]])</f>
        <v>289</v>
      </c>
      <c r="K548" s="1">
        <f>Table1[[#This Row],[total score]]/3</f>
        <v>96.333333333333329</v>
      </c>
      <c r="L548" s="6" t="str">
        <f>VLOOKUP(Table1[[#This Row],[average score]],$AE$9:$AF$13,2,TRUE)</f>
        <v>A</v>
      </c>
      <c r="M5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48" s="2" t="str">
        <f>IF(OR(Table1[[#This Row],[math score]]&lt;$AC$5,Table1[[#This Row],[reading score]]&lt;$AC$5,Table1[[#This Row],[writing score]]&lt;$AC$5), "Failed atleast one", "Passed all")</f>
        <v>Passed all</v>
      </c>
      <c r="O548" t="str">
        <f>VLOOKUP(Table1[[#This Row],[average score]],$AE$9:$AG$13,3,TRUE)</f>
        <v>Outstanding</v>
      </c>
    </row>
    <row r="549" spans="1:15" x14ac:dyDescent="0.2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t="s">
        <v>583</v>
      </c>
      <c r="J549">
        <f>SUM(Table1[[#This Row],[math score]:[writing score]])</f>
        <v>203</v>
      </c>
      <c r="K549" s="1">
        <f>Table1[[#This Row],[total score]]/3</f>
        <v>67.666666666666671</v>
      </c>
      <c r="L549" s="6" t="str">
        <f>VLOOKUP(Table1[[#This Row],[average score]],$AE$9:$AF$13,2,TRUE)</f>
        <v>D</v>
      </c>
      <c r="M5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49" s="2" t="str">
        <f>IF(OR(Table1[[#This Row],[math score]]&lt;$AC$5,Table1[[#This Row],[reading score]]&lt;$AC$5,Table1[[#This Row],[writing score]]&lt;$AC$5), "Failed atleast one", "Passed all")</f>
        <v>Passed all</v>
      </c>
      <c r="O549" t="str">
        <f>VLOOKUP(Table1[[#This Row],[average score]],$AE$9:$AG$13,3,TRUE)</f>
        <v>Needs improvements</v>
      </c>
    </row>
    <row r="550" spans="1:15" x14ac:dyDescent="0.2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t="s">
        <v>584</v>
      </c>
      <c r="J550">
        <f>SUM(Table1[[#This Row],[math score]:[writing score]])</f>
        <v>193</v>
      </c>
      <c r="K550" s="1">
        <f>Table1[[#This Row],[total score]]/3</f>
        <v>64.333333333333329</v>
      </c>
      <c r="L550" s="6" t="str">
        <f>VLOOKUP(Table1[[#This Row],[average score]],$AE$9:$AF$13,2,TRUE)</f>
        <v>D</v>
      </c>
      <c r="M5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50" s="2" t="str">
        <f>IF(OR(Table1[[#This Row],[math score]]&lt;$AC$5,Table1[[#This Row],[reading score]]&lt;$AC$5,Table1[[#This Row],[writing score]]&lt;$AC$5), "Failed atleast one", "Passed all")</f>
        <v>Passed all</v>
      </c>
      <c r="O550" t="str">
        <f>VLOOKUP(Table1[[#This Row],[average score]],$AE$9:$AG$13,3,TRUE)</f>
        <v>Needs improvements</v>
      </c>
    </row>
    <row r="551" spans="1:15" x14ac:dyDescent="0.2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t="s">
        <v>585</v>
      </c>
      <c r="J551">
        <f>SUM(Table1[[#This Row],[math score]:[writing score]])</f>
        <v>220</v>
      </c>
      <c r="K551" s="1">
        <f>Table1[[#This Row],[total score]]/3</f>
        <v>73.333333333333329</v>
      </c>
      <c r="L551" s="6" t="str">
        <f>VLOOKUP(Table1[[#This Row],[average score]],$AE$9:$AF$13,2,TRUE)</f>
        <v>C</v>
      </c>
      <c r="M5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51" s="2" t="str">
        <f>IF(OR(Table1[[#This Row],[math score]]&lt;$AC$5,Table1[[#This Row],[reading score]]&lt;$AC$5,Table1[[#This Row],[writing score]]&lt;$AC$5), "Failed atleast one", "Passed all")</f>
        <v>Passed all</v>
      </c>
      <c r="O551" t="str">
        <f>VLOOKUP(Table1[[#This Row],[average score]],$AE$9:$AG$13,3,TRUE)</f>
        <v>Satisfactory</v>
      </c>
    </row>
    <row r="552" spans="1:15" x14ac:dyDescent="0.2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t="s">
        <v>586</v>
      </c>
      <c r="J552">
        <f>SUM(Table1[[#This Row],[math score]:[writing score]])</f>
        <v>220</v>
      </c>
      <c r="K552" s="1">
        <f>Table1[[#This Row],[total score]]/3</f>
        <v>73.333333333333329</v>
      </c>
      <c r="L552" s="6" t="str">
        <f>VLOOKUP(Table1[[#This Row],[average score]],$AE$9:$AF$13,2,TRUE)</f>
        <v>C</v>
      </c>
      <c r="M5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52" s="2" t="str">
        <f>IF(OR(Table1[[#This Row],[math score]]&lt;$AC$5,Table1[[#This Row],[reading score]]&lt;$AC$5,Table1[[#This Row],[writing score]]&lt;$AC$5), "Failed atleast one", "Passed all")</f>
        <v>Passed all</v>
      </c>
      <c r="O552" t="str">
        <f>VLOOKUP(Table1[[#This Row],[average score]],$AE$9:$AG$13,3,TRUE)</f>
        <v>Satisfactory</v>
      </c>
    </row>
    <row r="553" spans="1:15" x14ac:dyDescent="0.2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t="s">
        <v>587</v>
      </c>
      <c r="J553">
        <f>SUM(Table1[[#This Row],[math score]:[writing score]])</f>
        <v>265</v>
      </c>
      <c r="K553" s="1">
        <f>Table1[[#This Row],[total score]]/3</f>
        <v>88.333333333333329</v>
      </c>
      <c r="L553" s="6" t="str">
        <f>VLOOKUP(Table1[[#This Row],[average score]],$AE$9:$AF$13,2,TRUE)</f>
        <v>B</v>
      </c>
      <c r="M5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53" s="2" t="str">
        <f>IF(OR(Table1[[#This Row],[math score]]&lt;$AC$5,Table1[[#This Row],[reading score]]&lt;$AC$5,Table1[[#This Row],[writing score]]&lt;$AC$5), "Failed atleast one", "Passed all")</f>
        <v>Passed all</v>
      </c>
      <c r="O553" t="str">
        <f>VLOOKUP(Table1[[#This Row],[average score]],$AE$9:$AG$13,3,TRUE)</f>
        <v xml:space="preserve">Good </v>
      </c>
    </row>
    <row r="554" spans="1:15" x14ac:dyDescent="0.2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t="s">
        <v>588</v>
      </c>
      <c r="J554">
        <f>SUM(Table1[[#This Row],[math score]:[writing score]])</f>
        <v>138</v>
      </c>
      <c r="K554" s="1">
        <f>Table1[[#This Row],[total score]]/3</f>
        <v>46</v>
      </c>
      <c r="L554" s="6" t="str">
        <f>VLOOKUP(Table1[[#This Row],[average score]],$AE$9:$AF$13,2,TRUE)</f>
        <v>F</v>
      </c>
      <c r="M5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54" s="2" t="str">
        <f>IF(OR(Table1[[#This Row],[math score]]&lt;$AC$5,Table1[[#This Row],[reading score]]&lt;$AC$5,Table1[[#This Row],[writing score]]&lt;$AC$5), "Failed atleast one", "Passed all")</f>
        <v>Failed atleast one</v>
      </c>
      <c r="O554" t="str">
        <f>VLOOKUP(Table1[[#This Row],[average score]],$AE$9:$AG$13,3,TRUE)</f>
        <v>Poor</v>
      </c>
    </row>
    <row r="555" spans="1:15" x14ac:dyDescent="0.2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t="s">
        <v>589</v>
      </c>
      <c r="J555">
        <f>SUM(Table1[[#This Row],[math score]:[writing score]])</f>
        <v>203</v>
      </c>
      <c r="K555" s="1">
        <f>Table1[[#This Row],[total score]]/3</f>
        <v>67.666666666666671</v>
      </c>
      <c r="L555" s="6" t="str">
        <f>VLOOKUP(Table1[[#This Row],[average score]],$AE$9:$AF$13,2,TRUE)</f>
        <v>D</v>
      </c>
      <c r="M5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55" s="2" t="str">
        <f>IF(OR(Table1[[#This Row],[math score]]&lt;$AC$5,Table1[[#This Row],[reading score]]&lt;$AC$5,Table1[[#This Row],[writing score]]&lt;$AC$5), "Failed atleast one", "Passed all")</f>
        <v>Passed all</v>
      </c>
      <c r="O555" t="str">
        <f>VLOOKUP(Table1[[#This Row],[average score]],$AE$9:$AG$13,3,TRUE)</f>
        <v>Needs improvements</v>
      </c>
    </row>
    <row r="556" spans="1:15" x14ac:dyDescent="0.2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t="s">
        <v>590</v>
      </c>
      <c r="J556">
        <f>SUM(Table1[[#This Row],[math score]:[writing score]])</f>
        <v>138</v>
      </c>
      <c r="K556" s="1">
        <f>Table1[[#This Row],[total score]]/3</f>
        <v>46</v>
      </c>
      <c r="L556" s="6" t="str">
        <f>VLOOKUP(Table1[[#This Row],[average score]],$AE$9:$AF$13,2,TRUE)</f>
        <v>F</v>
      </c>
      <c r="M5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56" s="2" t="str">
        <f>IF(OR(Table1[[#This Row],[math score]]&lt;$AC$5,Table1[[#This Row],[reading score]]&lt;$AC$5,Table1[[#This Row],[writing score]]&lt;$AC$5), "Failed atleast one", "Passed all")</f>
        <v>Failed atleast one</v>
      </c>
      <c r="O556" t="str">
        <f>VLOOKUP(Table1[[#This Row],[average score]],$AE$9:$AG$13,3,TRUE)</f>
        <v>Poor</v>
      </c>
    </row>
    <row r="557" spans="1:15" x14ac:dyDescent="0.2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t="s">
        <v>591</v>
      </c>
      <c r="J557">
        <f>SUM(Table1[[#This Row],[math score]:[writing score]])</f>
        <v>104</v>
      </c>
      <c r="K557" s="1">
        <f>Table1[[#This Row],[total score]]/3</f>
        <v>34.666666666666664</v>
      </c>
      <c r="L557" s="6" t="str">
        <f>VLOOKUP(Table1[[#This Row],[average score]],$AE$9:$AF$13,2,TRUE)</f>
        <v>F</v>
      </c>
      <c r="M5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57" s="2" t="str">
        <f>IF(OR(Table1[[#This Row],[math score]]&lt;$AC$5,Table1[[#This Row],[reading score]]&lt;$AC$5,Table1[[#This Row],[writing score]]&lt;$AC$5), "Failed atleast one", "Passed all")</f>
        <v>Failed atleast one</v>
      </c>
      <c r="O557" t="str">
        <f>VLOOKUP(Table1[[#This Row],[average score]],$AE$9:$AG$13,3,TRUE)</f>
        <v>Poor</v>
      </c>
    </row>
    <row r="558" spans="1:15" x14ac:dyDescent="0.2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t="s">
        <v>592</v>
      </c>
      <c r="J558">
        <f>SUM(Table1[[#This Row],[math score]:[writing score]])</f>
        <v>206</v>
      </c>
      <c r="K558" s="1">
        <f>Table1[[#This Row],[total score]]/3</f>
        <v>68.666666666666671</v>
      </c>
      <c r="L558" s="6" t="str">
        <f>VLOOKUP(Table1[[#This Row],[average score]],$AE$9:$AF$13,2,TRUE)</f>
        <v>D</v>
      </c>
      <c r="M5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58" s="2" t="str">
        <f>IF(OR(Table1[[#This Row],[math score]]&lt;$AC$5,Table1[[#This Row],[reading score]]&lt;$AC$5,Table1[[#This Row],[writing score]]&lt;$AC$5), "Failed atleast one", "Passed all")</f>
        <v>Failed atleast one</v>
      </c>
      <c r="O558" t="str">
        <f>VLOOKUP(Table1[[#This Row],[average score]],$AE$9:$AG$13,3,TRUE)</f>
        <v>Needs improvements</v>
      </c>
    </row>
    <row r="559" spans="1:15" x14ac:dyDescent="0.2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t="s">
        <v>593</v>
      </c>
      <c r="J559">
        <f>SUM(Table1[[#This Row],[math score]:[writing score]])</f>
        <v>194</v>
      </c>
      <c r="K559" s="1">
        <f>Table1[[#This Row],[total score]]/3</f>
        <v>64.666666666666671</v>
      </c>
      <c r="L559" s="6" t="str">
        <f>VLOOKUP(Table1[[#This Row],[average score]],$AE$9:$AF$13,2,TRUE)</f>
        <v>D</v>
      </c>
      <c r="M5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59" s="2" t="str">
        <f>IF(OR(Table1[[#This Row],[math score]]&lt;$AC$5,Table1[[#This Row],[reading score]]&lt;$AC$5,Table1[[#This Row],[writing score]]&lt;$AC$5), "Failed atleast one", "Passed all")</f>
        <v>Passed all</v>
      </c>
      <c r="O559" t="str">
        <f>VLOOKUP(Table1[[#This Row],[average score]],$AE$9:$AG$13,3,TRUE)</f>
        <v>Needs improvements</v>
      </c>
    </row>
    <row r="560" spans="1:15" x14ac:dyDescent="0.2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t="s">
        <v>594</v>
      </c>
      <c r="J560">
        <f>SUM(Table1[[#This Row],[math score]:[writing score]])</f>
        <v>193</v>
      </c>
      <c r="K560" s="1">
        <f>Table1[[#This Row],[total score]]/3</f>
        <v>64.333333333333329</v>
      </c>
      <c r="L560" s="6" t="str">
        <f>VLOOKUP(Table1[[#This Row],[average score]],$AE$9:$AF$13,2,TRUE)</f>
        <v>D</v>
      </c>
      <c r="M5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60" s="2" t="str">
        <f>IF(OR(Table1[[#This Row],[math score]]&lt;$AC$5,Table1[[#This Row],[reading score]]&lt;$AC$5,Table1[[#This Row],[writing score]]&lt;$AC$5), "Failed atleast one", "Passed all")</f>
        <v>Failed atleast one</v>
      </c>
      <c r="O560" t="str">
        <f>VLOOKUP(Table1[[#This Row],[average score]],$AE$9:$AG$13,3,TRUE)</f>
        <v>Needs improvements</v>
      </c>
    </row>
    <row r="561" spans="1:15" x14ac:dyDescent="0.2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t="s">
        <v>595</v>
      </c>
      <c r="J561">
        <f>SUM(Table1[[#This Row],[math score]:[writing score]])</f>
        <v>201</v>
      </c>
      <c r="K561" s="1">
        <f>Table1[[#This Row],[total score]]/3</f>
        <v>67</v>
      </c>
      <c r="L561" s="6" t="str">
        <f>VLOOKUP(Table1[[#This Row],[average score]],$AE$9:$AF$13,2,TRUE)</f>
        <v>D</v>
      </c>
      <c r="M5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61" s="2" t="str">
        <f>IF(OR(Table1[[#This Row],[math score]]&lt;$AC$5,Table1[[#This Row],[reading score]]&lt;$AC$5,Table1[[#This Row],[writing score]]&lt;$AC$5), "Failed atleast one", "Passed all")</f>
        <v>Passed all</v>
      </c>
      <c r="O561" t="str">
        <f>VLOOKUP(Table1[[#This Row],[average score]],$AE$9:$AG$13,3,TRUE)</f>
        <v>Needs improvements</v>
      </c>
    </row>
    <row r="562" spans="1:15" x14ac:dyDescent="0.2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t="s">
        <v>596</v>
      </c>
      <c r="J562">
        <f>SUM(Table1[[#This Row],[math score]:[writing score]])</f>
        <v>228</v>
      </c>
      <c r="K562" s="1">
        <f>Table1[[#This Row],[total score]]/3</f>
        <v>76</v>
      </c>
      <c r="L562" s="6" t="str">
        <f>VLOOKUP(Table1[[#This Row],[average score]],$AE$9:$AF$13,2,TRUE)</f>
        <v>C</v>
      </c>
      <c r="M5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62" s="2" t="str">
        <f>IF(OR(Table1[[#This Row],[math score]]&lt;$AC$5,Table1[[#This Row],[reading score]]&lt;$AC$5,Table1[[#This Row],[writing score]]&lt;$AC$5), "Failed atleast one", "Passed all")</f>
        <v>Passed all</v>
      </c>
      <c r="O562" t="str">
        <f>VLOOKUP(Table1[[#This Row],[average score]],$AE$9:$AG$13,3,TRUE)</f>
        <v>Satisfactory</v>
      </c>
    </row>
    <row r="563" spans="1:15" x14ac:dyDescent="0.2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t="s">
        <v>597</v>
      </c>
      <c r="J563">
        <f>SUM(Table1[[#This Row],[math score]:[writing score]])</f>
        <v>211</v>
      </c>
      <c r="K563" s="1">
        <f>Table1[[#This Row],[total score]]/3</f>
        <v>70.333333333333329</v>
      </c>
      <c r="L563" s="6" t="str">
        <f>VLOOKUP(Table1[[#This Row],[average score]],$AE$9:$AF$13,2,TRUE)</f>
        <v>C</v>
      </c>
      <c r="M5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63" s="2" t="str">
        <f>IF(OR(Table1[[#This Row],[math score]]&lt;$AC$5,Table1[[#This Row],[reading score]]&lt;$AC$5,Table1[[#This Row],[writing score]]&lt;$AC$5), "Failed atleast one", "Passed all")</f>
        <v>Passed all</v>
      </c>
      <c r="O563" t="str">
        <f>VLOOKUP(Table1[[#This Row],[average score]],$AE$9:$AG$13,3,TRUE)</f>
        <v>Satisfactory</v>
      </c>
    </row>
    <row r="564" spans="1:15" x14ac:dyDescent="0.2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t="s">
        <v>598</v>
      </c>
      <c r="J564">
        <f>SUM(Table1[[#This Row],[math score]:[writing score]])</f>
        <v>278</v>
      </c>
      <c r="K564" s="1">
        <f>Table1[[#This Row],[total score]]/3</f>
        <v>92.666666666666671</v>
      </c>
      <c r="L564" s="6" t="str">
        <f>VLOOKUP(Table1[[#This Row],[average score]],$AE$9:$AF$13,2,TRUE)</f>
        <v>A</v>
      </c>
      <c r="M5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64" s="2" t="str">
        <f>IF(OR(Table1[[#This Row],[math score]]&lt;$AC$5,Table1[[#This Row],[reading score]]&lt;$AC$5,Table1[[#This Row],[writing score]]&lt;$AC$5), "Failed atleast one", "Passed all")</f>
        <v>Passed all</v>
      </c>
      <c r="O564" t="str">
        <f>VLOOKUP(Table1[[#This Row],[average score]],$AE$9:$AG$13,3,TRUE)</f>
        <v>Outstanding</v>
      </c>
    </row>
    <row r="565" spans="1:15" x14ac:dyDescent="0.2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t="s">
        <v>599</v>
      </c>
      <c r="J565">
        <f>SUM(Table1[[#This Row],[math score]:[writing score]])</f>
        <v>223</v>
      </c>
      <c r="K565" s="1">
        <f>Table1[[#This Row],[total score]]/3</f>
        <v>74.333333333333329</v>
      </c>
      <c r="L565" s="6" t="str">
        <f>VLOOKUP(Table1[[#This Row],[average score]],$AE$9:$AF$13,2,TRUE)</f>
        <v>C</v>
      </c>
      <c r="M5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65" s="2" t="str">
        <f>IF(OR(Table1[[#This Row],[math score]]&lt;$AC$5,Table1[[#This Row],[reading score]]&lt;$AC$5,Table1[[#This Row],[writing score]]&lt;$AC$5), "Failed atleast one", "Passed all")</f>
        <v>Passed all</v>
      </c>
      <c r="O565" t="str">
        <f>VLOOKUP(Table1[[#This Row],[average score]],$AE$9:$AG$13,3,TRUE)</f>
        <v>Satisfactory</v>
      </c>
    </row>
    <row r="566" spans="1:15" x14ac:dyDescent="0.2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t="s">
        <v>600</v>
      </c>
      <c r="J566">
        <f>SUM(Table1[[#This Row],[math score]:[writing score]])</f>
        <v>145</v>
      </c>
      <c r="K566" s="1">
        <f>Table1[[#This Row],[total score]]/3</f>
        <v>48.333333333333336</v>
      </c>
      <c r="L566" s="6" t="str">
        <f>VLOOKUP(Table1[[#This Row],[average score]],$AE$9:$AF$13,2,TRUE)</f>
        <v>F</v>
      </c>
      <c r="M5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66" s="2" t="str">
        <f>IF(OR(Table1[[#This Row],[math score]]&lt;$AC$5,Table1[[#This Row],[reading score]]&lt;$AC$5,Table1[[#This Row],[writing score]]&lt;$AC$5), "Failed atleast one", "Passed all")</f>
        <v>Failed atleast one</v>
      </c>
      <c r="O566" t="str">
        <f>VLOOKUP(Table1[[#This Row],[average score]],$AE$9:$AG$13,3,TRUE)</f>
        <v>Poor</v>
      </c>
    </row>
    <row r="567" spans="1:15" x14ac:dyDescent="0.2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t="s">
        <v>601</v>
      </c>
      <c r="J567">
        <f>SUM(Table1[[#This Row],[math score]:[writing score]])</f>
        <v>136</v>
      </c>
      <c r="K567" s="1">
        <f>Table1[[#This Row],[total score]]/3</f>
        <v>45.333333333333336</v>
      </c>
      <c r="L567" s="6" t="str">
        <f>VLOOKUP(Table1[[#This Row],[average score]],$AE$9:$AF$13,2,TRUE)</f>
        <v>F</v>
      </c>
      <c r="M5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67" s="2" t="str">
        <f>IF(OR(Table1[[#This Row],[math score]]&lt;$AC$5,Table1[[#This Row],[reading score]]&lt;$AC$5,Table1[[#This Row],[writing score]]&lt;$AC$5), "Failed atleast one", "Passed all")</f>
        <v>Failed atleast one</v>
      </c>
      <c r="O567" t="str">
        <f>VLOOKUP(Table1[[#This Row],[average score]],$AE$9:$AG$13,3,TRUE)</f>
        <v>Poor</v>
      </c>
    </row>
    <row r="568" spans="1:15" x14ac:dyDescent="0.2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t="s">
        <v>602</v>
      </c>
      <c r="J568">
        <f>SUM(Table1[[#This Row],[math score]:[writing score]])</f>
        <v>292</v>
      </c>
      <c r="K568" s="1">
        <f>Table1[[#This Row],[total score]]/3</f>
        <v>97.333333333333329</v>
      </c>
      <c r="L568" s="6" t="str">
        <f>VLOOKUP(Table1[[#This Row],[average score]],$AE$9:$AF$13,2,TRUE)</f>
        <v>A</v>
      </c>
      <c r="M5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68" s="2" t="str">
        <f>IF(OR(Table1[[#This Row],[math score]]&lt;$AC$5,Table1[[#This Row],[reading score]]&lt;$AC$5,Table1[[#This Row],[writing score]]&lt;$AC$5), "Failed atleast one", "Passed all")</f>
        <v>Passed all</v>
      </c>
      <c r="O568" t="str">
        <f>VLOOKUP(Table1[[#This Row],[average score]],$AE$9:$AG$13,3,TRUE)</f>
        <v>Outstanding</v>
      </c>
    </row>
    <row r="569" spans="1:15" x14ac:dyDescent="0.2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t="s">
        <v>603</v>
      </c>
      <c r="J569">
        <f>SUM(Table1[[#This Row],[math score]:[writing score]])</f>
        <v>210</v>
      </c>
      <c r="K569" s="1">
        <f>Table1[[#This Row],[total score]]/3</f>
        <v>70</v>
      </c>
      <c r="L569" s="6" t="str">
        <f>VLOOKUP(Table1[[#This Row],[average score]],$AE$9:$AF$13,2,TRUE)</f>
        <v>C</v>
      </c>
      <c r="M5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69" s="2" t="str">
        <f>IF(OR(Table1[[#This Row],[math score]]&lt;$AC$5,Table1[[#This Row],[reading score]]&lt;$AC$5,Table1[[#This Row],[writing score]]&lt;$AC$5), "Failed atleast one", "Passed all")</f>
        <v>Passed all</v>
      </c>
      <c r="O569" t="str">
        <f>VLOOKUP(Table1[[#This Row],[average score]],$AE$9:$AG$13,3,TRUE)</f>
        <v>Satisfactory</v>
      </c>
    </row>
    <row r="570" spans="1:15" x14ac:dyDescent="0.2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t="s">
        <v>604</v>
      </c>
      <c r="J570">
        <f>SUM(Table1[[#This Row],[math score]:[writing score]])</f>
        <v>158</v>
      </c>
      <c r="K570" s="1">
        <f>Table1[[#This Row],[total score]]/3</f>
        <v>52.666666666666664</v>
      </c>
      <c r="L570" s="6" t="str">
        <f>VLOOKUP(Table1[[#This Row],[average score]],$AE$9:$AF$13,2,TRUE)</f>
        <v>F</v>
      </c>
      <c r="M5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70" s="2" t="str">
        <f>IF(OR(Table1[[#This Row],[math score]]&lt;$AC$5,Table1[[#This Row],[reading score]]&lt;$AC$5,Table1[[#This Row],[writing score]]&lt;$AC$5), "Failed atleast one", "Passed all")</f>
        <v>Failed atleast one</v>
      </c>
      <c r="O570" t="str">
        <f>VLOOKUP(Table1[[#This Row],[average score]],$AE$9:$AG$13,3,TRUE)</f>
        <v>Poor</v>
      </c>
    </row>
    <row r="571" spans="1:15" x14ac:dyDescent="0.2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t="s">
        <v>605</v>
      </c>
      <c r="J571">
        <f>SUM(Table1[[#This Row],[math score]:[writing score]])</f>
        <v>203</v>
      </c>
      <c r="K571" s="1">
        <f>Table1[[#This Row],[total score]]/3</f>
        <v>67.666666666666671</v>
      </c>
      <c r="L571" s="6" t="str">
        <f>VLOOKUP(Table1[[#This Row],[average score]],$AE$9:$AF$13,2,TRUE)</f>
        <v>D</v>
      </c>
      <c r="M5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71" s="2" t="str">
        <f>IF(OR(Table1[[#This Row],[math score]]&lt;$AC$5,Table1[[#This Row],[reading score]]&lt;$AC$5,Table1[[#This Row],[writing score]]&lt;$AC$5), "Failed atleast one", "Passed all")</f>
        <v>Passed all</v>
      </c>
      <c r="O571" t="str">
        <f>VLOOKUP(Table1[[#This Row],[average score]],$AE$9:$AG$13,3,TRUE)</f>
        <v>Needs improvements</v>
      </c>
    </row>
    <row r="572" spans="1:15" x14ac:dyDescent="0.2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t="s">
        <v>606</v>
      </c>
      <c r="J572">
        <f>SUM(Table1[[#This Row],[math score]:[writing score]])</f>
        <v>216</v>
      </c>
      <c r="K572" s="1">
        <f>Table1[[#This Row],[total score]]/3</f>
        <v>72</v>
      </c>
      <c r="L572" s="6" t="str">
        <f>VLOOKUP(Table1[[#This Row],[average score]],$AE$9:$AF$13,2,TRUE)</f>
        <v>C</v>
      </c>
      <c r="M5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72" s="2" t="str">
        <f>IF(OR(Table1[[#This Row],[math score]]&lt;$AC$5,Table1[[#This Row],[reading score]]&lt;$AC$5,Table1[[#This Row],[writing score]]&lt;$AC$5), "Failed atleast one", "Passed all")</f>
        <v>Passed all</v>
      </c>
      <c r="O572" t="str">
        <f>VLOOKUP(Table1[[#This Row],[average score]],$AE$9:$AG$13,3,TRUE)</f>
        <v>Satisfactory</v>
      </c>
    </row>
    <row r="573" spans="1:15" x14ac:dyDescent="0.2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t="s">
        <v>607</v>
      </c>
      <c r="J573">
        <f>SUM(Table1[[#This Row],[math score]:[writing score]])</f>
        <v>279</v>
      </c>
      <c r="K573" s="1">
        <f>Table1[[#This Row],[total score]]/3</f>
        <v>93</v>
      </c>
      <c r="L573" s="6" t="str">
        <f>VLOOKUP(Table1[[#This Row],[average score]],$AE$9:$AF$13,2,TRUE)</f>
        <v>A</v>
      </c>
      <c r="M5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73" s="2" t="str">
        <f>IF(OR(Table1[[#This Row],[math score]]&lt;$AC$5,Table1[[#This Row],[reading score]]&lt;$AC$5,Table1[[#This Row],[writing score]]&lt;$AC$5), "Failed atleast one", "Passed all")</f>
        <v>Passed all</v>
      </c>
      <c r="O573" t="str">
        <f>VLOOKUP(Table1[[#This Row],[average score]],$AE$9:$AG$13,3,TRUE)</f>
        <v>Outstanding</v>
      </c>
    </row>
    <row r="574" spans="1:15" x14ac:dyDescent="0.2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t="s">
        <v>608</v>
      </c>
      <c r="J574">
        <f>SUM(Table1[[#This Row],[math score]:[writing score]])</f>
        <v>171</v>
      </c>
      <c r="K574" s="1">
        <f>Table1[[#This Row],[total score]]/3</f>
        <v>57</v>
      </c>
      <c r="L574" s="6" t="str">
        <f>VLOOKUP(Table1[[#This Row],[average score]],$AE$9:$AF$13,2,TRUE)</f>
        <v>F</v>
      </c>
      <c r="M5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74" s="2" t="str">
        <f>IF(OR(Table1[[#This Row],[math score]]&lt;$AC$5,Table1[[#This Row],[reading score]]&lt;$AC$5,Table1[[#This Row],[writing score]]&lt;$AC$5), "Failed atleast one", "Passed all")</f>
        <v>Failed atleast one</v>
      </c>
      <c r="O574" t="str">
        <f>VLOOKUP(Table1[[#This Row],[average score]],$AE$9:$AG$13,3,TRUE)</f>
        <v>Poor</v>
      </c>
    </row>
    <row r="575" spans="1:15" x14ac:dyDescent="0.2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t="s">
        <v>609</v>
      </c>
      <c r="J575">
        <f>SUM(Table1[[#This Row],[math score]:[writing score]])</f>
        <v>180</v>
      </c>
      <c r="K575" s="1">
        <f>Table1[[#This Row],[total score]]/3</f>
        <v>60</v>
      </c>
      <c r="L575" s="6" t="str">
        <f>VLOOKUP(Table1[[#This Row],[average score]],$AE$9:$AF$13,2,TRUE)</f>
        <v>D</v>
      </c>
      <c r="M5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75" s="2" t="str">
        <f>IF(OR(Table1[[#This Row],[math score]]&lt;$AC$5,Table1[[#This Row],[reading score]]&lt;$AC$5,Table1[[#This Row],[writing score]]&lt;$AC$5), "Failed atleast one", "Passed all")</f>
        <v>Failed atleast one</v>
      </c>
      <c r="O575" t="str">
        <f>VLOOKUP(Table1[[#This Row],[average score]],$AE$9:$AG$13,3,TRUE)</f>
        <v>Needs improvements</v>
      </c>
    </row>
    <row r="576" spans="1:15" x14ac:dyDescent="0.2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t="s">
        <v>610</v>
      </c>
      <c r="J576">
        <f>SUM(Table1[[#This Row],[math score]:[writing score]])</f>
        <v>226</v>
      </c>
      <c r="K576" s="1">
        <f>Table1[[#This Row],[total score]]/3</f>
        <v>75.333333333333329</v>
      </c>
      <c r="L576" s="6" t="str">
        <f>VLOOKUP(Table1[[#This Row],[average score]],$AE$9:$AF$13,2,TRUE)</f>
        <v>C</v>
      </c>
      <c r="M5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76" s="2" t="str">
        <f>IF(OR(Table1[[#This Row],[math score]]&lt;$AC$5,Table1[[#This Row],[reading score]]&lt;$AC$5,Table1[[#This Row],[writing score]]&lt;$AC$5), "Failed atleast one", "Passed all")</f>
        <v>Passed all</v>
      </c>
      <c r="O576" t="str">
        <f>VLOOKUP(Table1[[#This Row],[average score]],$AE$9:$AG$13,3,TRUE)</f>
        <v>Satisfactory</v>
      </c>
    </row>
    <row r="577" spans="1:15" x14ac:dyDescent="0.2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t="s">
        <v>611</v>
      </c>
      <c r="J577">
        <f>SUM(Table1[[#This Row],[math score]:[writing score]])</f>
        <v>148</v>
      </c>
      <c r="K577" s="1">
        <f>Table1[[#This Row],[total score]]/3</f>
        <v>49.333333333333336</v>
      </c>
      <c r="L577" s="6" t="str">
        <f>VLOOKUP(Table1[[#This Row],[average score]],$AE$9:$AF$13,2,TRUE)</f>
        <v>F</v>
      </c>
      <c r="M5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77" s="2" t="str">
        <f>IF(OR(Table1[[#This Row],[math score]]&lt;$AC$5,Table1[[#This Row],[reading score]]&lt;$AC$5,Table1[[#This Row],[writing score]]&lt;$AC$5), "Failed atleast one", "Passed all")</f>
        <v>Failed atleast one</v>
      </c>
      <c r="O577" t="str">
        <f>VLOOKUP(Table1[[#This Row],[average score]],$AE$9:$AG$13,3,TRUE)</f>
        <v>Poor</v>
      </c>
    </row>
    <row r="578" spans="1:15" x14ac:dyDescent="0.2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t="s">
        <v>612</v>
      </c>
      <c r="J578">
        <f>SUM(Table1[[#This Row],[math score]:[writing score]])</f>
        <v>164</v>
      </c>
      <c r="K578" s="1">
        <f>Table1[[#This Row],[total score]]/3</f>
        <v>54.666666666666664</v>
      </c>
      <c r="L578" s="6" t="str">
        <f>VLOOKUP(Table1[[#This Row],[average score]],$AE$9:$AF$13,2,TRUE)</f>
        <v>F</v>
      </c>
      <c r="M5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78" s="2" t="str">
        <f>IF(OR(Table1[[#This Row],[math score]]&lt;$AC$5,Table1[[#This Row],[reading score]]&lt;$AC$5,Table1[[#This Row],[writing score]]&lt;$AC$5), "Failed atleast one", "Passed all")</f>
        <v>Failed atleast one</v>
      </c>
      <c r="O578" t="str">
        <f>VLOOKUP(Table1[[#This Row],[average score]],$AE$9:$AG$13,3,TRUE)</f>
        <v>Poor</v>
      </c>
    </row>
    <row r="579" spans="1:15" x14ac:dyDescent="0.2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t="s">
        <v>613</v>
      </c>
      <c r="J579">
        <f>SUM(Table1[[#This Row],[math score]:[writing score]])</f>
        <v>261</v>
      </c>
      <c r="K579" s="1">
        <f>Table1[[#This Row],[total score]]/3</f>
        <v>87</v>
      </c>
      <c r="L579" s="6" t="str">
        <f>VLOOKUP(Table1[[#This Row],[average score]],$AE$9:$AF$13,2,TRUE)</f>
        <v>B</v>
      </c>
      <c r="M5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579" s="2" t="str">
        <f>IF(OR(Table1[[#This Row],[math score]]&lt;$AC$5,Table1[[#This Row],[reading score]]&lt;$AC$5,Table1[[#This Row],[writing score]]&lt;$AC$5), "Failed atleast one", "Passed all")</f>
        <v>Passed all</v>
      </c>
      <c r="O579" t="str">
        <f>VLOOKUP(Table1[[#This Row],[average score]],$AE$9:$AG$13,3,TRUE)</f>
        <v xml:space="preserve">Good </v>
      </c>
    </row>
    <row r="580" spans="1:15" x14ac:dyDescent="0.2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t="s">
        <v>614</v>
      </c>
      <c r="J580">
        <f>SUM(Table1[[#This Row],[math score]:[writing score]])</f>
        <v>162</v>
      </c>
      <c r="K580" s="1">
        <f>Table1[[#This Row],[total score]]/3</f>
        <v>54</v>
      </c>
      <c r="L580" s="6" t="str">
        <f>VLOOKUP(Table1[[#This Row],[average score]],$AE$9:$AF$13,2,TRUE)</f>
        <v>F</v>
      </c>
      <c r="M5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80" s="2" t="str">
        <f>IF(OR(Table1[[#This Row],[math score]]&lt;$AC$5,Table1[[#This Row],[reading score]]&lt;$AC$5,Table1[[#This Row],[writing score]]&lt;$AC$5), "Failed atleast one", "Passed all")</f>
        <v>Failed atleast one</v>
      </c>
      <c r="O580" t="str">
        <f>VLOOKUP(Table1[[#This Row],[average score]],$AE$9:$AG$13,3,TRUE)</f>
        <v>Poor</v>
      </c>
    </row>
    <row r="581" spans="1:15" x14ac:dyDescent="0.2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t="s">
        <v>615</v>
      </c>
      <c r="J581">
        <f>SUM(Table1[[#This Row],[math score]:[writing score]])</f>
        <v>182</v>
      </c>
      <c r="K581" s="1">
        <f>Table1[[#This Row],[total score]]/3</f>
        <v>60.666666666666664</v>
      </c>
      <c r="L581" s="6" t="str">
        <f>VLOOKUP(Table1[[#This Row],[average score]],$AE$9:$AF$13,2,TRUE)</f>
        <v>D</v>
      </c>
      <c r="M5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81" s="2" t="str">
        <f>IF(OR(Table1[[#This Row],[math score]]&lt;$AC$5,Table1[[#This Row],[reading score]]&lt;$AC$5,Table1[[#This Row],[writing score]]&lt;$AC$5), "Failed atleast one", "Passed all")</f>
        <v>Failed atleast one</v>
      </c>
      <c r="O581" t="str">
        <f>VLOOKUP(Table1[[#This Row],[average score]],$AE$9:$AG$13,3,TRUE)</f>
        <v>Needs improvements</v>
      </c>
    </row>
    <row r="582" spans="1:15" x14ac:dyDescent="0.2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t="s">
        <v>616</v>
      </c>
      <c r="J582">
        <f>SUM(Table1[[#This Row],[math score]:[writing score]])</f>
        <v>274</v>
      </c>
      <c r="K582" s="1">
        <f>Table1[[#This Row],[total score]]/3</f>
        <v>91.333333333333329</v>
      </c>
      <c r="L582" s="6" t="str">
        <f>VLOOKUP(Table1[[#This Row],[average score]],$AE$9:$AF$13,2,TRUE)</f>
        <v>A</v>
      </c>
      <c r="M5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82" s="2" t="str">
        <f>IF(OR(Table1[[#This Row],[math score]]&lt;$AC$5,Table1[[#This Row],[reading score]]&lt;$AC$5,Table1[[#This Row],[writing score]]&lt;$AC$5), "Failed atleast one", "Passed all")</f>
        <v>Passed all</v>
      </c>
      <c r="O582" t="str">
        <f>VLOOKUP(Table1[[#This Row],[average score]],$AE$9:$AG$13,3,TRUE)</f>
        <v>Outstanding</v>
      </c>
    </row>
    <row r="583" spans="1:15" x14ac:dyDescent="0.2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t="s">
        <v>617</v>
      </c>
      <c r="J583">
        <f>SUM(Table1[[#This Row],[math score]:[writing score]])</f>
        <v>236</v>
      </c>
      <c r="K583" s="1">
        <f>Table1[[#This Row],[total score]]/3</f>
        <v>78.666666666666671</v>
      </c>
      <c r="L583" s="6" t="str">
        <f>VLOOKUP(Table1[[#This Row],[average score]],$AE$9:$AF$13,2,TRUE)</f>
        <v>C</v>
      </c>
      <c r="M5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83" s="2" t="str">
        <f>IF(OR(Table1[[#This Row],[math score]]&lt;$AC$5,Table1[[#This Row],[reading score]]&lt;$AC$5,Table1[[#This Row],[writing score]]&lt;$AC$5), "Failed atleast one", "Passed all")</f>
        <v>Passed all</v>
      </c>
      <c r="O583" t="str">
        <f>VLOOKUP(Table1[[#This Row],[average score]],$AE$9:$AG$13,3,TRUE)</f>
        <v>Satisfactory</v>
      </c>
    </row>
    <row r="584" spans="1:15" x14ac:dyDescent="0.2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t="s">
        <v>618</v>
      </c>
      <c r="J584">
        <f>SUM(Table1[[#This Row],[math score]:[writing score]])</f>
        <v>214</v>
      </c>
      <c r="K584" s="1">
        <f>Table1[[#This Row],[total score]]/3</f>
        <v>71.333333333333329</v>
      </c>
      <c r="L584" s="6" t="str">
        <f>VLOOKUP(Table1[[#This Row],[average score]],$AE$9:$AF$13,2,TRUE)</f>
        <v>C</v>
      </c>
      <c r="M5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84" s="2" t="str">
        <f>IF(OR(Table1[[#This Row],[math score]]&lt;$AC$5,Table1[[#This Row],[reading score]]&lt;$AC$5,Table1[[#This Row],[writing score]]&lt;$AC$5), "Failed atleast one", "Passed all")</f>
        <v>Passed all</v>
      </c>
      <c r="O584" t="str">
        <f>VLOOKUP(Table1[[#This Row],[average score]],$AE$9:$AG$13,3,TRUE)</f>
        <v>Satisfactory</v>
      </c>
    </row>
    <row r="585" spans="1:15" x14ac:dyDescent="0.2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t="s">
        <v>619</v>
      </c>
      <c r="J585">
        <f>SUM(Table1[[#This Row],[math score]:[writing score]])</f>
        <v>228</v>
      </c>
      <c r="K585" s="1">
        <f>Table1[[#This Row],[total score]]/3</f>
        <v>76</v>
      </c>
      <c r="L585" s="6" t="str">
        <f>VLOOKUP(Table1[[#This Row],[average score]],$AE$9:$AF$13,2,TRUE)</f>
        <v>C</v>
      </c>
      <c r="M5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85" s="2" t="str">
        <f>IF(OR(Table1[[#This Row],[math score]]&lt;$AC$5,Table1[[#This Row],[reading score]]&lt;$AC$5,Table1[[#This Row],[writing score]]&lt;$AC$5), "Failed atleast one", "Passed all")</f>
        <v>Passed all</v>
      </c>
      <c r="O585" t="str">
        <f>VLOOKUP(Table1[[#This Row],[average score]],$AE$9:$AG$13,3,TRUE)</f>
        <v>Satisfactory</v>
      </c>
    </row>
    <row r="586" spans="1:15" x14ac:dyDescent="0.2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t="s">
        <v>620</v>
      </c>
      <c r="J586">
        <f>SUM(Table1[[#This Row],[math score]:[writing score]])</f>
        <v>223</v>
      </c>
      <c r="K586" s="1">
        <f>Table1[[#This Row],[total score]]/3</f>
        <v>74.333333333333329</v>
      </c>
      <c r="L586" s="6" t="str">
        <f>VLOOKUP(Table1[[#This Row],[average score]],$AE$9:$AF$13,2,TRUE)</f>
        <v>C</v>
      </c>
      <c r="M5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86" s="2" t="str">
        <f>IF(OR(Table1[[#This Row],[math score]]&lt;$AC$5,Table1[[#This Row],[reading score]]&lt;$AC$5,Table1[[#This Row],[writing score]]&lt;$AC$5), "Failed atleast one", "Passed all")</f>
        <v>Passed all</v>
      </c>
      <c r="O586" t="str">
        <f>VLOOKUP(Table1[[#This Row],[average score]],$AE$9:$AG$13,3,TRUE)</f>
        <v>Satisfactory</v>
      </c>
    </row>
    <row r="587" spans="1:15" x14ac:dyDescent="0.2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t="s">
        <v>621</v>
      </c>
      <c r="J587">
        <f>SUM(Table1[[#This Row],[math score]:[writing score]])</f>
        <v>217</v>
      </c>
      <c r="K587" s="1">
        <f>Table1[[#This Row],[total score]]/3</f>
        <v>72.333333333333329</v>
      </c>
      <c r="L587" s="6" t="str">
        <f>VLOOKUP(Table1[[#This Row],[average score]],$AE$9:$AF$13,2,TRUE)</f>
        <v>C</v>
      </c>
      <c r="M5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87" s="2" t="str">
        <f>IF(OR(Table1[[#This Row],[math score]]&lt;$AC$5,Table1[[#This Row],[reading score]]&lt;$AC$5,Table1[[#This Row],[writing score]]&lt;$AC$5), "Failed atleast one", "Passed all")</f>
        <v>Passed all</v>
      </c>
      <c r="O587" t="str">
        <f>VLOOKUP(Table1[[#This Row],[average score]],$AE$9:$AG$13,3,TRUE)</f>
        <v>Satisfactory</v>
      </c>
    </row>
    <row r="588" spans="1:15" x14ac:dyDescent="0.2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t="s">
        <v>622</v>
      </c>
      <c r="J588">
        <f>SUM(Table1[[#This Row],[math score]:[writing score]])</f>
        <v>201</v>
      </c>
      <c r="K588" s="1">
        <f>Table1[[#This Row],[total score]]/3</f>
        <v>67</v>
      </c>
      <c r="L588" s="6" t="str">
        <f>VLOOKUP(Table1[[#This Row],[average score]],$AE$9:$AF$13,2,TRUE)</f>
        <v>D</v>
      </c>
      <c r="M5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88" s="2" t="str">
        <f>IF(OR(Table1[[#This Row],[math score]]&lt;$AC$5,Table1[[#This Row],[reading score]]&lt;$AC$5,Table1[[#This Row],[writing score]]&lt;$AC$5), "Failed atleast one", "Passed all")</f>
        <v>Failed atleast one</v>
      </c>
      <c r="O588" t="str">
        <f>VLOOKUP(Table1[[#This Row],[average score]],$AE$9:$AG$13,3,TRUE)</f>
        <v>Needs improvements</v>
      </c>
    </row>
    <row r="589" spans="1:15" x14ac:dyDescent="0.2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t="s">
        <v>623</v>
      </c>
      <c r="J589">
        <f>SUM(Table1[[#This Row],[math score]:[writing score]])</f>
        <v>169</v>
      </c>
      <c r="K589" s="1">
        <f>Table1[[#This Row],[total score]]/3</f>
        <v>56.333333333333336</v>
      </c>
      <c r="L589" s="6" t="str">
        <f>VLOOKUP(Table1[[#This Row],[average score]],$AE$9:$AF$13,2,TRUE)</f>
        <v>F</v>
      </c>
      <c r="M5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89" s="2" t="str">
        <f>IF(OR(Table1[[#This Row],[math score]]&lt;$AC$5,Table1[[#This Row],[reading score]]&lt;$AC$5,Table1[[#This Row],[writing score]]&lt;$AC$5), "Failed atleast one", "Passed all")</f>
        <v>Failed atleast one</v>
      </c>
      <c r="O589" t="str">
        <f>VLOOKUP(Table1[[#This Row],[average score]],$AE$9:$AG$13,3,TRUE)</f>
        <v>Poor</v>
      </c>
    </row>
    <row r="590" spans="1:15" x14ac:dyDescent="0.2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t="s">
        <v>624</v>
      </c>
      <c r="J590">
        <f>SUM(Table1[[#This Row],[math score]:[writing score]])</f>
        <v>183</v>
      </c>
      <c r="K590" s="1">
        <f>Table1[[#This Row],[total score]]/3</f>
        <v>61</v>
      </c>
      <c r="L590" s="6" t="str">
        <f>VLOOKUP(Table1[[#This Row],[average score]],$AE$9:$AF$13,2,TRUE)</f>
        <v>D</v>
      </c>
      <c r="M5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90" s="2" t="str">
        <f>IF(OR(Table1[[#This Row],[math score]]&lt;$AC$5,Table1[[#This Row],[reading score]]&lt;$AC$5,Table1[[#This Row],[writing score]]&lt;$AC$5), "Failed atleast one", "Passed all")</f>
        <v>Failed atleast one</v>
      </c>
      <c r="O590" t="str">
        <f>VLOOKUP(Table1[[#This Row],[average score]],$AE$9:$AG$13,3,TRUE)</f>
        <v>Needs improvements</v>
      </c>
    </row>
    <row r="591" spans="1:15" x14ac:dyDescent="0.2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t="s">
        <v>625</v>
      </c>
      <c r="J591">
        <f>SUM(Table1[[#This Row],[math score]:[writing score]])</f>
        <v>179</v>
      </c>
      <c r="K591" s="1">
        <f>Table1[[#This Row],[total score]]/3</f>
        <v>59.666666666666664</v>
      </c>
      <c r="L591" s="6" t="str">
        <f>VLOOKUP(Table1[[#This Row],[average score]],$AE$9:$AF$13,2,TRUE)</f>
        <v>F</v>
      </c>
      <c r="M5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91" s="2" t="str">
        <f>IF(OR(Table1[[#This Row],[math score]]&lt;$AC$5,Table1[[#This Row],[reading score]]&lt;$AC$5,Table1[[#This Row],[writing score]]&lt;$AC$5), "Failed atleast one", "Passed all")</f>
        <v>Failed atleast one</v>
      </c>
      <c r="O591" t="str">
        <f>VLOOKUP(Table1[[#This Row],[average score]],$AE$9:$AG$13,3,TRUE)</f>
        <v>Poor</v>
      </c>
    </row>
    <row r="592" spans="1:15" x14ac:dyDescent="0.2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t="s">
        <v>626</v>
      </c>
      <c r="J592">
        <f>SUM(Table1[[#This Row],[math score]:[writing score]])</f>
        <v>169</v>
      </c>
      <c r="K592" s="1">
        <f>Table1[[#This Row],[total score]]/3</f>
        <v>56.333333333333336</v>
      </c>
      <c r="L592" s="6" t="str">
        <f>VLOOKUP(Table1[[#This Row],[average score]],$AE$9:$AF$13,2,TRUE)</f>
        <v>F</v>
      </c>
      <c r="M5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92" s="2" t="str">
        <f>IF(OR(Table1[[#This Row],[math score]]&lt;$AC$5,Table1[[#This Row],[reading score]]&lt;$AC$5,Table1[[#This Row],[writing score]]&lt;$AC$5), "Failed atleast one", "Passed all")</f>
        <v>Failed atleast one</v>
      </c>
      <c r="O592" t="str">
        <f>VLOOKUP(Table1[[#This Row],[average score]],$AE$9:$AG$13,3,TRUE)</f>
        <v>Poor</v>
      </c>
    </row>
    <row r="593" spans="1:15" x14ac:dyDescent="0.2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t="s">
        <v>627</v>
      </c>
      <c r="J593">
        <f>SUM(Table1[[#This Row],[math score]:[writing score]])</f>
        <v>183</v>
      </c>
      <c r="K593" s="1">
        <f>Table1[[#This Row],[total score]]/3</f>
        <v>61</v>
      </c>
      <c r="L593" s="6" t="str">
        <f>VLOOKUP(Table1[[#This Row],[average score]],$AE$9:$AF$13,2,TRUE)</f>
        <v>D</v>
      </c>
      <c r="M5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93" s="2" t="str">
        <f>IF(OR(Table1[[#This Row],[math score]]&lt;$AC$5,Table1[[#This Row],[reading score]]&lt;$AC$5,Table1[[#This Row],[writing score]]&lt;$AC$5), "Failed atleast one", "Passed all")</f>
        <v>Failed atleast one</v>
      </c>
      <c r="O593" t="str">
        <f>VLOOKUP(Table1[[#This Row],[average score]],$AE$9:$AG$13,3,TRUE)</f>
        <v>Needs improvements</v>
      </c>
    </row>
    <row r="594" spans="1:15" x14ac:dyDescent="0.2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t="s">
        <v>628</v>
      </c>
      <c r="J594">
        <f>SUM(Table1[[#This Row],[math score]:[writing score]])</f>
        <v>200</v>
      </c>
      <c r="K594" s="1">
        <f>Table1[[#This Row],[total score]]/3</f>
        <v>66.666666666666671</v>
      </c>
      <c r="L594" s="6" t="str">
        <f>VLOOKUP(Table1[[#This Row],[average score]],$AE$9:$AF$13,2,TRUE)</f>
        <v>D</v>
      </c>
      <c r="M5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94" s="2" t="str">
        <f>IF(OR(Table1[[#This Row],[math score]]&lt;$AC$5,Table1[[#This Row],[reading score]]&lt;$AC$5,Table1[[#This Row],[writing score]]&lt;$AC$5), "Failed atleast one", "Passed all")</f>
        <v>Passed all</v>
      </c>
      <c r="O594" t="str">
        <f>VLOOKUP(Table1[[#This Row],[average score]],$AE$9:$AG$13,3,TRUE)</f>
        <v>Needs improvements</v>
      </c>
    </row>
    <row r="595" spans="1:15" x14ac:dyDescent="0.2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t="s">
        <v>629</v>
      </c>
      <c r="J595">
        <f>SUM(Table1[[#This Row],[math score]:[writing score]])</f>
        <v>223</v>
      </c>
      <c r="K595" s="1">
        <f>Table1[[#This Row],[total score]]/3</f>
        <v>74.333333333333329</v>
      </c>
      <c r="L595" s="6" t="str">
        <f>VLOOKUP(Table1[[#This Row],[average score]],$AE$9:$AF$13,2,TRUE)</f>
        <v>C</v>
      </c>
      <c r="M5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595" s="2" t="str">
        <f>IF(OR(Table1[[#This Row],[math score]]&lt;$AC$5,Table1[[#This Row],[reading score]]&lt;$AC$5,Table1[[#This Row],[writing score]]&lt;$AC$5), "Failed atleast one", "Passed all")</f>
        <v>Passed all</v>
      </c>
      <c r="O595" t="str">
        <f>VLOOKUP(Table1[[#This Row],[average score]],$AE$9:$AG$13,3,TRUE)</f>
        <v>Satisfactory</v>
      </c>
    </row>
    <row r="596" spans="1:15" x14ac:dyDescent="0.2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t="s">
        <v>630</v>
      </c>
      <c r="J596">
        <f>SUM(Table1[[#This Row],[math score]:[writing score]])</f>
        <v>291</v>
      </c>
      <c r="K596" s="1">
        <f>Table1[[#This Row],[total score]]/3</f>
        <v>97</v>
      </c>
      <c r="L596" s="6" t="str">
        <f>VLOOKUP(Table1[[#This Row],[average score]],$AE$9:$AF$13,2,TRUE)</f>
        <v>A</v>
      </c>
      <c r="M5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596" s="2" t="str">
        <f>IF(OR(Table1[[#This Row],[math score]]&lt;$AC$5,Table1[[#This Row],[reading score]]&lt;$AC$5,Table1[[#This Row],[writing score]]&lt;$AC$5), "Failed atleast one", "Passed all")</f>
        <v>Passed all</v>
      </c>
      <c r="O596" t="str">
        <f>VLOOKUP(Table1[[#This Row],[average score]],$AE$9:$AG$13,3,TRUE)</f>
        <v>Outstanding</v>
      </c>
    </row>
    <row r="597" spans="1:15" x14ac:dyDescent="0.2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t="s">
        <v>631</v>
      </c>
      <c r="J597">
        <f>SUM(Table1[[#This Row],[math score]:[writing score]])</f>
        <v>207</v>
      </c>
      <c r="K597" s="1">
        <f>Table1[[#This Row],[total score]]/3</f>
        <v>69</v>
      </c>
      <c r="L597" s="6" t="str">
        <f>VLOOKUP(Table1[[#This Row],[average score]],$AE$9:$AF$13,2,TRUE)</f>
        <v>D</v>
      </c>
      <c r="M5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597" s="2" t="str">
        <f>IF(OR(Table1[[#This Row],[math score]]&lt;$AC$5,Table1[[#This Row],[reading score]]&lt;$AC$5,Table1[[#This Row],[writing score]]&lt;$AC$5), "Failed atleast one", "Passed all")</f>
        <v>Failed atleast one</v>
      </c>
      <c r="O597" t="str">
        <f>VLOOKUP(Table1[[#This Row],[average score]],$AE$9:$AG$13,3,TRUE)</f>
        <v>Needs improvements</v>
      </c>
    </row>
    <row r="598" spans="1:15" x14ac:dyDescent="0.2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t="s">
        <v>632</v>
      </c>
      <c r="J598">
        <f>SUM(Table1[[#This Row],[math score]:[writing score]])</f>
        <v>69</v>
      </c>
      <c r="K598" s="1">
        <f>Table1[[#This Row],[total score]]/3</f>
        <v>23</v>
      </c>
      <c r="L598" s="6" t="str">
        <f>VLOOKUP(Table1[[#This Row],[average score]],$AE$9:$AF$13,2,TRUE)</f>
        <v>F</v>
      </c>
      <c r="M5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98" s="2" t="str">
        <f>IF(OR(Table1[[#This Row],[math score]]&lt;$AC$5,Table1[[#This Row],[reading score]]&lt;$AC$5,Table1[[#This Row],[writing score]]&lt;$AC$5), "Failed atleast one", "Passed all")</f>
        <v>Failed atleast one</v>
      </c>
      <c r="O598" t="str">
        <f>VLOOKUP(Table1[[#This Row],[average score]],$AE$9:$AG$13,3,TRUE)</f>
        <v>Poor</v>
      </c>
    </row>
    <row r="599" spans="1:15" x14ac:dyDescent="0.2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t="s">
        <v>633</v>
      </c>
      <c r="J599">
        <f>SUM(Table1[[#This Row],[math score]:[writing score]])</f>
        <v>155</v>
      </c>
      <c r="K599" s="1">
        <f>Table1[[#This Row],[total score]]/3</f>
        <v>51.666666666666664</v>
      </c>
      <c r="L599" s="6" t="str">
        <f>VLOOKUP(Table1[[#This Row],[average score]],$AE$9:$AF$13,2,TRUE)</f>
        <v>F</v>
      </c>
      <c r="M5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599" s="2" t="str">
        <f>IF(OR(Table1[[#This Row],[math score]]&lt;$AC$5,Table1[[#This Row],[reading score]]&lt;$AC$5,Table1[[#This Row],[writing score]]&lt;$AC$5), "Failed atleast one", "Passed all")</f>
        <v>Failed atleast one</v>
      </c>
      <c r="O599" t="str">
        <f>VLOOKUP(Table1[[#This Row],[average score]],$AE$9:$AG$13,3,TRUE)</f>
        <v>Poor</v>
      </c>
    </row>
    <row r="600" spans="1:15" x14ac:dyDescent="0.2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t="s">
        <v>634</v>
      </c>
      <c r="J600">
        <f>SUM(Table1[[#This Row],[math score]:[writing score]])</f>
        <v>219</v>
      </c>
      <c r="K600" s="1">
        <f>Table1[[#This Row],[total score]]/3</f>
        <v>73</v>
      </c>
      <c r="L600" s="6" t="str">
        <f>VLOOKUP(Table1[[#This Row],[average score]],$AE$9:$AF$13,2,TRUE)</f>
        <v>C</v>
      </c>
      <c r="M6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00" s="2" t="str">
        <f>IF(OR(Table1[[#This Row],[math score]]&lt;$AC$5,Table1[[#This Row],[reading score]]&lt;$AC$5,Table1[[#This Row],[writing score]]&lt;$AC$5), "Failed atleast one", "Passed all")</f>
        <v>Passed all</v>
      </c>
      <c r="O600" t="str">
        <f>VLOOKUP(Table1[[#This Row],[average score]],$AE$9:$AG$13,3,TRUE)</f>
        <v>Satisfactory</v>
      </c>
    </row>
    <row r="601" spans="1:15" x14ac:dyDescent="0.2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t="s">
        <v>635</v>
      </c>
      <c r="J601">
        <f>SUM(Table1[[#This Row],[math score]:[writing score]])</f>
        <v>228</v>
      </c>
      <c r="K601" s="1">
        <f>Table1[[#This Row],[total score]]/3</f>
        <v>76</v>
      </c>
      <c r="L601" s="6" t="str">
        <f>VLOOKUP(Table1[[#This Row],[average score]],$AE$9:$AF$13,2,TRUE)</f>
        <v>C</v>
      </c>
      <c r="M6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01" s="2" t="str">
        <f>IF(OR(Table1[[#This Row],[math score]]&lt;$AC$5,Table1[[#This Row],[reading score]]&lt;$AC$5,Table1[[#This Row],[writing score]]&lt;$AC$5), "Failed atleast one", "Passed all")</f>
        <v>Passed all</v>
      </c>
      <c r="O601" t="str">
        <f>VLOOKUP(Table1[[#This Row],[average score]],$AE$9:$AG$13,3,TRUE)</f>
        <v>Satisfactory</v>
      </c>
    </row>
    <row r="602" spans="1:15" x14ac:dyDescent="0.2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t="s">
        <v>636</v>
      </c>
      <c r="J602">
        <f>SUM(Table1[[#This Row],[math score]:[writing score]])</f>
        <v>177</v>
      </c>
      <c r="K602" s="1">
        <f>Table1[[#This Row],[total score]]/3</f>
        <v>59</v>
      </c>
      <c r="L602" s="6" t="str">
        <f>VLOOKUP(Table1[[#This Row],[average score]],$AE$9:$AF$13,2,TRUE)</f>
        <v>F</v>
      </c>
      <c r="M6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02" s="2" t="str">
        <f>IF(OR(Table1[[#This Row],[math score]]&lt;$AC$5,Table1[[#This Row],[reading score]]&lt;$AC$5,Table1[[#This Row],[writing score]]&lt;$AC$5), "Failed atleast one", "Passed all")</f>
        <v>Failed atleast one</v>
      </c>
      <c r="O602" t="str">
        <f>VLOOKUP(Table1[[#This Row],[average score]],$AE$9:$AG$13,3,TRUE)</f>
        <v>Poor</v>
      </c>
    </row>
    <row r="603" spans="1:15" x14ac:dyDescent="0.2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t="s">
        <v>637</v>
      </c>
      <c r="J603">
        <f>SUM(Table1[[#This Row],[math score]:[writing score]])</f>
        <v>88</v>
      </c>
      <c r="K603" s="1">
        <f>Table1[[#This Row],[total score]]/3</f>
        <v>29.333333333333332</v>
      </c>
      <c r="L603" s="6" t="str">
        <f>VLOOKUP(Table1[[#This Row],[average score]],$AE$9:$AF$13,2,TRUE)</f>
        <v>F</v>
      </c>
      <c r="M6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03" s="2" t="str">
        <f>IF(OR(Table1[[#This Row],[math score]]&lt;$AC$5,Table1[[#This Row],[reading score]]&lt;$AC$5,Table1[[#This Row],[writing score]]&lt;$AC$5), "Failed atleast one", "Passed all")</f>
        <v>Failed atleast one</v>
      </c>
      <c r="O603" t="str">
        <f>VLOOKUP(Table1[[#This Row],[average score]],$AE$9:$AG$13,3,TRUE)</f>
        <v>Poor</v>
      </c>
    </row>
    <row r="604" spans="1:15" x14ac:dyDescent="0.2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t="s">
        <v>638</v>
      </c>
      <c r="J604">
        <f>SUM(Table1[[#This Row],[math score]:[writing score]])</f>
        <v>234</v>
      </c>
      <c r="K604" s="1">
        <f>Table1[[#This Row],[total score]]/3</f>
        <v>78</v>
      </c>
      <c r="L604" s="6" t="str">
        <f>VLOOKUP(Table1[[#This Row],[average score]],$AE$9:$AF$13,2,TRUE)</f>
        <v>C</v>
      </c>
      <c r="M6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04" s="2" t="str">
        <f>IF(OR(Table1[[#This Row],[math score]]&lt;$AC$5,Table1[[#This Row],[reading score]]&lt;$AC$5,Table1[[#This Row],[writing score]]&lt;$AC$5), "Failed atleast one", "Passed all")</f>
        <v>Passed all</v>
      </c>
      <c r="O604" t="str">
        <f>VLOOKUP(Table1[[#This Row],[average score]],$AE$9:$AG$13,3,TRUE)</f>
        <v>Satisfactory</v>
      </c>
    </row>
    <row r="605" spans="1:15" x14ac:dyDescent="0.2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t="s">
        <v>639</v>
      </c>
      <c r="J605">
        <f>SUM(Table1[[#This Row],[math score]:[writing score]])</f>
        <v>168</v>
      </c>
      <c r="K605" s="1">
        <f>Table1[[#This Row],[total score]]/3</f>
        <v>56</v>
      </c>
      <c r="L605" s="6" t="str">
        <f>VLOOKUP(Table1[[#This Row],[average score]],$AE$9:$AF$13,2,TRUE)</f>
        <v>F</v>
      </c>
      <c r="M6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05" s="2" t="str">
        <f>IF(OR(Table1[[#This Row],[math score]]&lt;$AC$5,Table1[[#This Row],[reading score]]&lt;$AC$5,Table1[[#This Row],[writing score]]&lt;$AC$5), "Failed atleast one", "Passed all")</f>
        <v>Failed atleast one</v>
      </c>
      <c r="O605" t="str">
        <f>VLOOKUP(Table1[[#This Row],[average score]],$AE$9:$AG$13,3,TRUE)</f>
        <v>Poor</v>
      </c>
    </row>
    <row r="606" spans="1:15" x14ac:dyDescent="0.2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t="s">
        <v>640</v>
      </c>
      <c r="J606">
        <f>SUM(Table1[[#This Row],[math score]:[writing score]])</f>
        <v>263</v>
      </c>
      <c r="K606" s="1">
        <f>Table1[[#This Row],[total score]]/3</f>
        <v>87.666666666666671</v>
      </c>
      <c r="L606" s="6" t="str">
        <f>VLOOKUP(Table1[[#This Row],[average score]],$AE$9:$AF$13,2,TRUE)</f>
        <v>B</v>
      </c>
      <c r="M6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06" s="2" t="str">
        <f>IF(OR(Table1[[#This Row],[math score]]&lt;$AC$5,Table1[[#This Row],[reading score]]&lt;$AC$5,Table1[[#This Row],[writing score]]&lt;$AC$5), "Failed atleast one", "Passed all")</f>
        <v>Passed all</v>
      </c>
      <c r="O606" t="str">
        <f>VLOOKUP(Table1[[#This Row],[average score]],$AE$9:$AG$13,3,TRUE)</f>
        <v xml:space="preserve">Good </v>
      </c>
    </row>
    <row r="607" spans="1:15" x14ac:dyDescent="0.2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t="s">
        <v>641</v>
      </c>
      <c r="J607">
        <f>SUM(Table1[[#This Row],[math score]:[writing score]])</f>
        <v>209</v>
      </c>
      <c r="K607" s="1">
        <f>Table1[[#This Row],[total score]]/3</f>
        <v>69.666666666666671</v>
      </c>
      <c r="L607" s="6" t="str">
        <f>VLOOKUP(Table1[[#This Row],[average score]],$AE$9:$AF$13,2,TRUE)</f>
        <v>D</v>
      </c>
      <c r="M6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07" s="2" t="str">
        <f>IF(OR(Table1[[#This Row],[math score]]&lt;$AC$5,Table1[[#This Row],[reading score]]&lt;$AC$5,Table1[[#This Row],[writing score]]&lt;$AC$5), "Failed atleast one", "Passed all")</f>
        <v>Passed all</v>
      </c>
      <c r="O607" t="str">
        <f>VLOOKUP(Table1[[#This Row],[average score]],$AE$9:$AG$13,3,TRUE)</f>
        <v>Needs improvements</v>
      </c>
    </row>
    <row r="608" spans="1:15" x14ac:dyDescent="0.2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t="s">
        <v>642</v>
      </c>
      <c r="J608">
        <f>SUM(Table1[[#This Row],[math score]:[writing score]])</f>
        <v>251</v>
      </c>
      <c r="K608" s="1">
        <f>Table1[[#This Row],[total score]]/3</f>
        <v>83.666666666666671</v>
      </c>
      <c r="L608" s="6" t="str">
        <f>VLOOKUP(Table1[[#This Row],[average score]],$AE$9:$AF$13,2,TRUE)</f>
        <v>B</v>
      </c>
      <c r="M6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08" s="2" t="str">
        <f>IF(OR(Table1[[#This Row],[math score]]&lt;$AC$5,Table1[[#This Row],[reading score]]&lt;$AC$5,Table1[[#This Row],[writing score]]&lt;$AC$5), "Failed atleast one", "Passed all")</f>
        <v>Passed all</v>
      </c>
      <c r="O608" t="str">
        <f>VLOOKUP(Table1[[#This Row],[average score]],$AE$9:$AG$13,3,TRUE)</f>
        <v xml:space="preserve">Good </v>
      </c>
    </row>
    <row r="609" spans="1:15" x14ac:dyDescent="0.2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t="s">
        <v>643</v>
      </c>
      <c r="J609">
        <f>SUM(Table1[[#This Row],[math score]:[writing score]])</f>
        <v>152</v>
      </c>
      <c r="K609" s="1">
        <f>Table1[[#This Row],[total score]]/3</f>
        <v>50.666666666666664</v>
      </c>
      <c r="L609" s="6" t="str">
        <f>VLOOKUP(Table1[[#This Row],[average score]],$AE$9:$AF$13,2,TRUE)</f>
        <v>F</v>
      </c>
      <c r="M6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09" s="2" t="str">
        <f>IF(OR(Table1[[#This Row],[math score]]&lt;$AC$5,Table1[[#This Row],[reading score]]&lt;$AC$5,Table1[[#This Row],[writing score]]&lt;$AC$5), "Failed atleast one", "Passed all")</f>
        <v>Failed atleast one</v>
      </c>
      <c r="O609" t="str">
        <f>VLOOKUP(Table1[[#This Row],[average score]],$AE$9:$AG$13,3,TRUE)</f>
        <v>Poor</v>
      </c>
    </row>
    <row r="610" spans="1:15" x14ac:dyDescent="0.2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t="s">
        <v>644</v>
      </c>
      <c r="J610">
        <f>SUM(Table1[[#This Row],[math score]:[writing score]])</f>
        <v>187</v>
      </c>
      <c r="K610" s="1">
        <f>Table1[[#This Row],[total score]]/3</f>
        <v>62.333333333333336</v>
      </c>
      <c r="L610" s="6" t="str">
        <f>VLOOKUP(Table1[[#This Row],[average score]],$AE$9:$AF$13,2,TRUE)</f>
        <v>D</v>
      </c>
      <c r="M6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10" s="2" t="str">
        <f>IF(OR(Table1[[#This Row],[math score]]&lt;$AC$5,Table1[[#This Row],[reading score]]&lt;$AC$5,Table1[[#This Row],[writing score]]&lt;$AC$5), "Failed atleast one", "Passed all")</f>
        <v>Passed all</v>
      </c>
      <c r="O610" t="str">
        <f>VLOOKUP(Table1[[#This Row],[average score]],$AE$9:$AG$13,3,TRUE)</f>
        <v>Needs improvements</v>
      </c>
    </row>
    <row r="611" spans="1:15" x14ac:dyDescent="0.2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t="s">
        <v>645</v>
      </c>
      <c r="J611">
        <f>SUM(Table1[[#This Row],[math score]:[writing score]])</f>
        <v>186</v>
      </c>
      <c r="K611" s="1">
        <f>Table1[[#This Row],[total score]]/3</f>
        <v>62</v>
      </c>
      <c r="L611" s="6" t="str">
        <f>VLOOKUP(Table1[[#This Row],[average score]],$AE$9:$AF$13,2,TRUE)</f>
        <v>D</v>
      </c>
      <c r="M6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11" s="2" t="str">
        <f>IF(OR(Table1[[#This Row],[math score]]&lt;$AC$5,Table1[[#This Row],[reading score]]&lt;$AC$5,Table1[[#This Row],[writing score]]&lt;$AC$5), "Failed atleast one", "Passed all")</f>
        <v>Failed atleast one</v>
      </c>
      <c r="O611" t="str">
        <f>VLOOKUP(Table1[[#This Row],[average score]],$AE$9:$AG$13,3,TRUE)</f>
        <v>Needs improvements</v>
      </c>
    </row>
    <row r="612" spans="1:15" x14ac:dyDescent="0.2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t="s">
        <v>646</v>
      </c>
      <c r="J612">
        <f>SUM(Table1[[#This Row],[math score]:[writing score]])</f>
        <v>192</v>
      </c>
      <c r="K612" s="1">
        <f>Table1[[#This Row],[total score]]/3</f>
        <v>64</v>
      </c>
      <c r="L612" s="6" t="str">
        <f>VLOOKUP(Table1[[#This Row],[average score]],$AE$9:$AF$13,2,TRUE)</f>
        <v>D</v>
      </c>
      <c r="M6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12" s="2" t="str">
        <f>IF(OR(Table1[[#This Row],[math score]]&lt;$AC$5,Table1[[#This Row],[reading score]]&lt;$AC$5,Table1[[#This Row],[writing score]]&lt;$AC$5), "Failed atleast one", "Passed all")</f>
        <v>Passed all</v>
      </c>
      <c r="O612" t="str">
        <f>VLOOKUP(Table1[[#This Row],[average score]],$AE$9:$AG$13,3,TRUE)</f>
        <v>Needs improvements</v>
      </c>
    </row>
    <row r="613" spans="1:15" x14ac:dyDescent="0.2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t="s">
        <v>647</v>
      </c>
      <c r="J613">
        <f>SUM(Table1[[#This Row],[math score]:[writing score]])</f>
        <v>183</v>
      </c>
      <c r="K613" s="1">
        <f>Table1[[#This Row],[total score]]/3</f>
        <v>61</v>
      </c>
      <c r="L613" s="6" t="str">
        <f>VLOOKUP(Table1[[#This Row],[average score]],$AE$9:$AF$13,2,TRUE)</f>
        <v>D</v>
      </c>
      <c r="M6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13" s="2" t="str">
        <f>IF(OR(Table1[[#This Row],[math score]]&lt;$AC$5,Table1[[#This Row],[reading score]]&lt;$AC$5,Table1[[#This Row],[writing score]]&lt;$AC$5), "Failed atleast one", "Passed all")</f>
        <v>Failed atleast one</v>
      </c>
      <c r="O613" t="str">
        <f>VLOOKUP(Table1[[#This Row],[average score]],$AE$9:$AG$13,3,TRUE)</f>
        <v>Needs improvements</v>
      </c>
    </row>
    <row r="614" spans="1:15" x14ac:dyDescent="0.2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t="s">
        <v>648</v>
      </c>
      <c r="J614">
        <f>SUM(Table1[[#This Row],[math score]:[writing score]])</f>
        <v>275</v>
      </c>
      <c r="K614" s="1">
        <f>Table1[[#This Row],[total score]]/3</f>
        <v>91.666666666666671</v>
      </c>
      <c r="L614" s="6" t="str">
        <f>VLOOKUP(Table1[[#This Row],[average score]],$AE$9:$AF$13,2,TRUE)</f>
        <v>A</v>
      </c>
      <c r="M6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614" s="2" t="str">
        <f>IF(OR(Table1[[#This Row],[math score]]&lt;$AC$5,Table1[[#This Row],[reading score]]&lt;$AC$5,Table1[[#This Row],[writing score]]&lt;$AC$5), "Failed atleast one", "Passed all")</f>
        <v>Passed all</v>
      </c>
      <c r="O614" t="str">
        <f>VLOOKUP(Table1[[#This Row],[average score]],$AE$9:$AG$13,3,TRUE)</f>
        <v>Outstanding</v>
      </c>
    </row>
    <row r="615" spans="1:15" x14ac:dyDescent="0.2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t="s">
        <v>649</v>
      </c>
      <c r="J615">
        <f>SUM(Table1[[#This Row],[math score]:[writing score]])</f>
        <v>216</v>
      </c>
      <c r="K615" s="1">
        <f>Table1[[#This Row],[total score]]/3</f>
        <v>72</v>
      </c>
      <c r="L615" s="6" t="str">
        <f>VLOOKUP(Table1[[#This Row],[average score]],$AE$9:$AF$13,2,TRUE)</f>
        <v>C</v>
      </c>
      <c r="M6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15" s="2" t="str">
        <f>IF(OR(Table1[[#This Row],[math score]]&lt;$AC$5,Table1[[#This Row],[reading score]]&lt;$AC$5,Table1[[#This Row],[writing score]]&lt;$AC$5), "Failed atleast one", "Passed all")</f>
        <v>Passed all</v>
      </c>
      <c r="O615" t="str">
        <f>VLOOKUP(Table1[[#This Row],[average score]],$AE$9:$AG$13,3,TRUE)</f>
        <v>Satisfactory</v>
      </c>
    </row>
    <row r="616" spans="1:15" x14ac:dyDescent="0.2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t="s">
        <v>650</v>
      </c>
      <c r="J616">
        <f>SUM(Table1[[#This Row],[math score]:[writing score]])</f>
        <v>268</v>
      </c>
      <c r="K616" s="1">
        <f>Table1[[#This Row],[total score]]/3</f>
        <v>89.333333333333329</v>
      </c>
      <c r="L616" s="6" t="str">
        <f>VLOOKUP(Table1[[#This Row],[average score]],$AE$9:$AF$13,2,TRUE)</f>
        <v>B</v>
      </c>
      <c r="M6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16" s="2" t="str">
        <f>IF(OR(Table1[[#This Row],[math score]]&lt;$AC$5,Table1[[#This Row],[reading score]]&lt;$AC$5,Table1[[#This Row],[writing score]]&lt;$AC$5), "Failed atleast one", "Passed all")</f>
        <v>Passed all</v>
      </c>
      <c r="O616" t="str">
        <f>VLOOKUP(Table1[[#This Row],[average score]],$AE$9:$AG$13,3,TRUE)</f>
        <v xml:space="preserve">Good </v>
      </c>
    </row>
    <row r="617" spans="1:15" x14ac:dyDescent="0.2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t="s">
        <v>651</v>
      </c>
      <c r="J617">
        <f>SUM(Table1[[#This Row],[math score]:[writing score]])</f>
        <v>200</v>
      </c>
      <c r="K617" s="1">
        <f>Table1[[#This Row],[total score]]/3</f>
        <v>66.666666666666671</v>
      </c>
      <c r="L617" s="6" t="str">
        <f>VLOOKUP(Table1[[#This Row],[average score]],$AE$9:$AF$13,2,TRUE)</f>
        <v>D</v>
      </c>
      <c r="M6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17" s="2" t="str">
        <f>IF(OR(Table1[[#This Row],[math score]]&lt;$AC$5,Table1[[#This Row],[reading score]]&lt;$AC$5,Table1[[#This Row],[writing score]]&lt;$AC$5), "Failed atleast one", "Passed all")</f>
        <v>Passed all</v>
      </c>
      <c r="O617" t="str">
        <f>VLOOKUP(Table1[[#This Row],[average score]],$AE$9:$AG$13,3,TRUE)</f>
        <v>Needs improvements</v>
      </c>
    </row>
    <row r="618" spans="1:15" x14ac:dyDescent="0.2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t="s">
        <v>652</v>
      </c>
      <c r="J618">
        <f>SUM(Table1[[#This Row],[math score]:[writing score]])</f>
        <v>120</v>
      </c>
      <c r="K618" s="1">
        <f>Table1[[#This Row],[total score]]/3</f>
        <v>40</v>
      </c>
      <c r="L618" s="6" t="str">
        <f>VLOOKUP(Table1[[#This Row],[average score]],$AE$9:$AF$13,2,TRUE)</f>
        <v>F</v>
      </c>
      <c r="M6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18" s="2" t="str">
        <f>IF(OR(Table1[[#This Row],[math score]]&lt;$AC$5,Table1[[#This Row],[reading score]]&lt;$AC$5,Table1[[#This Row],[writing score]]&lt;$AC$5), "Failed atleast one", "Passed all")</f>
        <v>Failed atleast one</v>
      </c>
      <c r="O618" t="str">
        <f>VLOOKUP(Table1[[#This Row],[average score]],$AE$9:$AG$13,3,TRUE)</f>
        <v>Poor</v>
      </c>
    </row>
    <row r="619" spans="1:15" x14ac:dyDescent="0.2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t="s">
        <v>653</v>
      </c>
      <c r="J619">
        <f>SUM(Table1[[#This Row],[math score]:[writing score]])</f>
        <v>249</v>
      </c>
      <c r="K619" s="1">
        <f>Table1[[#This Row],[total score]]/3</f>
        <v>83</v>
      </c>
      <c r="L619" s="6" t="str">
        <f>VLOOKUP(Table1[[#This Row],[average score]],$AE$9:$AF$13,2,TRUE)</f>
        <v>B</v>
      </c>
      <c r="M6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19" s="2" t="str">
        <f>IF(OR(Table1[[#This Row],[math score]]&lt;$AC$5,Table1[[#This Row],[reading score]]&lt;$AC$5,Table1[[#This Row],[writing score]]&lt;$AC$5), "Failed atleast one", "Passed all")</f>
        <v>Passed all</v>
      </c>
      <c r="O619" t="str">
        <f>VLOOKUP(Table1[[#This Row],[average score]],$AE$9:$AG$13,3,TRUE)</f>
        <v xml:space="preserve">Good </v>
      </c>
    </row>
    <row r="620" spans="1:15" x14ac:dyDescent="0.2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t="s">
        <v>654</v>
      </c>
      <c r="J620">
        <f>SUM(Table1[[#This Row],[math score]:[writing score]])</f>
        <v>260</v>
      </c>
      <c r="K620" s="1">
        <f>Table1[[#This Row],[total score]]/3</f>
        <v>86.666666666666671</v>
      </c>
      <c r="L620" s="6" t="str">
        <f>VLOOKUP(Table1[[#This Row],[average score]],$AE$9:$AF$13,2,TRUE)</f>
        <v>B</v>
      </c>
      <c r="M6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20" s="2" t="str">
        <f>IF(OR(Table1[[#This Row],[math score]]&lt;$AC$5,Table1[[#This Row],[reading score]]&lt;$AC$5,Table1[[#This Row],[writing score]]&lt;$AC$5), "Failed atleast one", "Passed all")</f>
        <v>Passed all</v>
      </c>
      <c r="O620" t="str">
        <f>VLOOKUP(Table1[[#This Row],[average score]],$AE$9:$AG$13,3,TRUE)</f>
        <v xml:space="preserve">Good </v>
      </c>
    </row>
    <row r="621" spans="1:15" x14ac:dyDescent="0.2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t="s">
        <v>655</v>
      </c>
      <c r="J621">
        <f>SUM(Table1[[#This Row],[math score]:[writing score]])</f>
        <v>206</v>
      </c>
      <c r="K621" s="1">
        <f>Table1[[#This Row],[total score]]/3</f>
        <v>68.666666666666671</v>
      </c>
      <c r="L621" s="6" t="str">
        <f>VLOOKUP(Table1[[#This Row],[average score]],$AE$9:$AF$13,2,TRUE)</f>
        <v>D</v>
      </c>
      <c r="M6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21" s="2" t="str">
        <f>IF(OR(Table1[[#This Row],[math score]]&lt;$AC$5,Table1[[#This Row],[reading score]]&lt;$AC$5,Table1[[#This Row],[writing score]]&lt;$AC$5), "Failed atleast one", "Passed all")</f>
        <v>Passed all</v>
      </c>
      <c r="O621" t="str">
        <f>VLOOKUP(Table1[[#This Row],[average score]],$AE$9:$AG$13,3,TRUE)</f>
        <v>Needs improvements</v>
      </c>
    </row>
    <row r="622" spans="1:15" x14ac:dyDescent="0.2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t="s">
        <v>656</v>
      </c>
      <c r="J622">
        <f>SUM(Table1[[#This Row],[math score]:[writing score]])</f>
        <v>150</v>
      </c>
      <c r="K622" s="1">
        <f>Table1[[#This Row],[total score]]/3</f>
        <v>50</v>
      </c>
      <c r="L622" s="6" t="str">
        <f>VLOOKUP(Table1[[#This Row],[average score]],$AE$9:$AF$13,2,TRUE)</f>
        <v>F</v>
      </c>
      <c r="M6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22" s="2" t="str">
        <f>IF(OR(Table1[[#This Row],[math score]]&lt;$AC$5,Table1[[#This Row],[reading score]]&lt;$AC$5,Table1[[#This Row],[writing score]]&lt;$AC$5), "Failed atleast one", "Passed all")</f>
        <v>Failed atleast one</v>
      </c>
      <c r="O622" t="str">
        <f>VLOOKUP(Table1[[#This Row],[average score]],$AE$9:$AG$13,3,TRUE)</f>
        <v>Poor</v>
      </c>
    </row>
    <row r="623" spans="1:15" x14ac:dyDescent="0.2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t="s">
        <v>657</v>
      </c>
      <c r="J623">
        <f>SUM(Table1[[#This Row],[math score]:[writing score]])</f>
        <v>181</v>
      </c>
      <c r="K623" s="1">
        <f>Table1[[#This Row],[total score]]/3</f>
        <v>60.333333333333336</v>
      </c>
      <c r="L623" s="6" t="str">
        <f>VLOOKUP(Table1[[#This Row],[average score]],$AE$9:$AF$13,2,TRUE)</f>
        <v>D</v>
      </c>
      <c r="M6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23" s="2" t="str">
        <f>IF(OR(Table1[[#This Row],[math score]]&lt;$AC$5,Table1[[#This Row],[reading score]]&lt;$AC$5,Table1[[#This Row],[writing score]]&lt;$AC$5), "Failed atleast one", "Passed all")</f>
        <v>Failed atleast one</v>
      </c>
      <c r="O623" t="str">
        <f>VLOOKUP(Table1[[#This Row],[average score]],$AE$9:$AG$13,3,TRUE)</f>
        <v>Needs improvements</v>
      </c>
    </row>
    <row r="624" spans="1:15" x14ac:dyDescent="0.2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t="s">
        <v>658</v>
      </c>
      <c r="J624">
        <f>SUM(Table1[[#This Row],[math score]:[writing score]])</f>
        <v>161</v>
      </c>
      <c r="K624" s="1">
        <f>Table1[[#This Row],[total score]]/3</f>
        <v>53.666666666666664</v>
      </c>
      <c r="L624" s="6" t="str">
        <f>VLOOKUP(Table1[[#This Row],[average score]],$AE$9:$AF$13,2,TRUE)</f>
        <v>F</v>
      </c>
      <c r="M6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24" s="2" t="str">
        <f>IF(OR(Table1[[#This Row],[math score]]&lt;$AC$5,Table1[[#This Row],[reading score]]&lt;$AC$5,Table1[[#This Row],[writing score]]&lt;$AC$5), "Failed atleast one", "Passed all")</f>
        <v>Failed atleast one</v>
      </c>
      <c r="O624" t="str">
        <f>VLOOKUP(Table1[[#This Row],[average score]],$AE$9:$AG$13,3,TRUE)</f>
        <v>Poor</v>
      </c>
    </row>
    <row r="625" spans="1:15" x14ac:dyDescent="0.2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t="s">
        <v>659</v>
      </c>
      <c r="J625">
        <f>SUM(Table1[[#This Row],[math score]:[writing score]])</f>
        <v>282</v>
      </c>
      <c r="K625" s="1">
        <f>Table1[[#This Row],[total score]]/3</f>
        <v>94</v>
      </c>
      <c r="L625" s="6" t="str">
        <f>VLOOKUP(Table1[[#This Row],[average score]],$AE$9:$AF$13,2,TRUE)</f>
        <v>A</v>
      </c>
      <c r="M6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625" s="2" t="str">
        <f>IF(OR(Table1[[#This Row],[math score]]&lt;$AC$5,Table1[[#This Row],[reading score]]&lt;$AC$5,Table1[[#This Row],[writing score]]&lt;$AC$5), "Failed atleast one", "Passed all")</f>
        <v>Passed all</v>
      </c>
      <c r="O625" t="str">
        <f>VLOOKUP(Table1[[#This Row],[average score]],$AE$9:$AG$13,3,TRUE)</f>
        <v>Outstanding</v>
      </c>
    </row>
    <row r="626" spans="1:15" x14ac:dyDescent="0.2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t="s">
        <v>660</v>
      </c>
      <c r="J626">
        <f>SUM(Table1[[#This Row],[math score]:[writing score]])</f>
        <v>181</v>
      </c>
      <c r="K626" s="1">
        <f>Table1[[#This Row],[total score]]/3</f>
        <v>60.333333333333336</v>
      </c>
      <c r="L626" s="6" t="str">
        <f>VLOOKUP(Table1[[#This Row],[average score]],$AE$9:$AF$13,2,TRUE)</f>
        <v>D</v>
      </c>
      <c r="M6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26" s="2" t="str">
        <f>IF(OR(Table1[[#This Row],[math score]]&lt;$AC$5,Table1[[#This Row],[reading score]]&lt;$AC$5,Table1[[#This Row],[writing score]]&lt;$AC$5), "Failed atleast one", "Passed all")</f>
        <v>Failed atleast one</v>
      </c>
      <c r="O626" t="str">
        <f>VLOOKUP(Table1[[#This Row],[average score]],$AE$9:$AG$13,3,TRUE)</f>
        <v>Needs improvements</v>
      </c>
    </row>
    <row r="627" spans="1:15" x14ac:dyDescent="0.2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t="s">
        <v>661</v>
      </c>
      <c r="J627">
        <f>SUM(Table1[[#This Row],[math score]:[writing score]])</f>
        <v>296</v>
      </c>
      <c r="K627" s="1">
        <f>Table1[[#This Row],[total score]]/3</f>
        <v>98.666666666666671</v>
      </c>
      <c r="L627" s="6" t="str">
        <f>VLOOKUP(Table1[[#This Row],[average score]],$AE$9:$AF$13,2,TRUE)</f>
        <v>A</v>
      </c>
      <c r="M6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627" s="2" t="str">
        <f>IF(OR(Table1[[#This Row],[math score]]&lt;$AC$5,Table1[[#This Row],[reading score]]&lt;$AC$5,Table1[[#This Row],[writing score]]&lt;$AC$5), "Failed atleast one", "Passed all")</f>
        <v>Passed all</v>
      </c>
      <c r="O627" t="str">
        <f>VLOOKUP(Table1[[#This Row],[average score]],$AE$9:$AG$13,3,TRUE)</f>
        <v>Outstanding</v>
      </c>
    </row>
    <row r="628" spans="1:15" x14ac:dyDescent="0.2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t="s">
        <v>662</v>
      </c>
      <c r="J628">
        <f>SUM(Table1[[#This Row],[math score]:[writing score]])</f>
        <v>202</v>
      </c>
      <c r="K628" s="1">
        <f>Table1[[#This Row],[total score]]/3</f>
        <v>67.333333333333329</v>
      </c>
      <c r="L628" s="6" t="str">
        <f>VLOOKUP(Table1[[#This Row],[average score]],$AE$9:$AF$13,2,TRUE)</f>
        <v>D</v>
      </c>
      <c r="M6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28" s="2" t="str">
        <f>IF(OR(Table1[[#This Row],[math score]]&lt;$AC$5,Table1[[#This Row],[reading score]]&lt;$AC$5,Table1[[#This Row],[writing score]]&lt;$AC$5), "Failed atleast one", "Passed all")</f>
        <v>Passed all</v>
      </c>
      <c r="O628" t="str">
        <f>VLOOKUP(Table1[[#This Row],[average score]],$AE$9:$AG$13,3,TRUE)</f>
        <v>Needs improvements</v>
      </c>
    </row>
    <row r="629" spans="1:15" x14ac:dyDescent="0.2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t="s">
        <v>663</v>
      </c>
      <c r="J629">
        <f>SUM(Table1[[#This Row],[math score]:[writing score]])</f>
        <v>155</v>
      </c>
      <c r="K629" s="1">
        <f>Table1[[#This Row],[total score]]/3</f>
        <v>51.666666666666664</v>
      </c>
      <c r="L629" s="6" t="str">
        <f>VLOOKUP(Table1[[#This Row],[average score]],$AE$9:$AF$13,2,TRUE)</f>
        <v>F</v>
      </c>
      <c r="M6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29" s="2" t="str">
        <f>IF(OR(Table1[[#This Row],[math score]]&lt;$AC$5,Table1[[#This Row],[reading score]]&lt;$AC$5,Table1[[#This Row],[writing score]]&lt;$AC$5), "Failed atleast one", "Passed all")</f>
        <v>Failed atleast one</v>
      </c>
      <c r="O629" t="str">
        <f>VLOOKUP(Table1[[#This Row],[average score]],$AE$9:$AG$13,3,TRUE)</f>
        <v>Poor</v>
      </c>
    </row>
    <row r="630" spans="1:15" x14ac:dyDescent="0.2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t="s">
        <v>664</v>
      </c>
      <c r="J630">
        <f>SUM(Table1[[#This Row],[math score]:[writing score]])</f>
        <v>152</v>
      </c>
      <c r="K630" s="1">
        <f>Table1[[#This Row],[total score]]/3</f>
        <v>50.666666666666664</v>
      </c>
      <c r="L630" s="6" t="str">
        <f>VLOOKUP(Table1[[#This Row],[average score]],$AE$9:$AF$13,2,TRUE)</f>
        <v>F</v>
      </c>
      <c r="M6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30" s="2" t="str">
        <f>IF(OR(Table1[[#This Row],[math score]]&lt;$AC$5,Table1[[#This Row],[reading score]]&lt;$AC$5,Table1[[#This Row],[writing score]]&lt;$AC$5), "Failed atleast one", "Passed all")</f>
        <v>Failed atleast one</v>
      </c>
      <c r="O630" t="str">
        <f>VLOOKUP(Table1[[#This Row],[average score]],$AE$9:$AG$13,3,TRUE)</f>
        <v>Poor</v>
      </c>
    </row>
    <row r="631" spans="1:15" x14ac:dyDescent="0.2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t="s">
        <v>665</v>
      </c>
      <c r="J631">
        <f>SUM(Table1[[#This Row],[math score]:[writing score]])</f>
        <v>150</v>
      </c>
      <c r="K631" s="1">
        <f>Table1[[#This Row],[total score]]/3</f>
        <v>50</v>
      </c>
      <c r="L631" s="6" t="str">
        <f>VLOOKUP(Table1[[#This Row],[average score]],$AE$9:$AF$13,2,TRUE)</f>
        <v>F</v>
      </c>
      <c r="M6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31" s="2" t="str">
        <f>IF(OR(Table1[[#This Row],[math score]]&lt;$AC$5,Table1[[#This Row],[reading score]]&lt;$AC$5,Table1[[#This Row],[writing score]]&lt;$AC$5), "Failed atleast one", "Passed all")</f>
        <v>Failed atleast one</v>
      </c>
      <c r="O631" t="str">
        <f>VLOOKUP(Table1[[#This Row],[average score]],$AE$9:$AG$13,3,TRUE)</f>
        <v>Poor</v>
      </c>
    </row>
    <row r="632" spans="1:15" x14ac:dyDescent="0.2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t="s">
        <v>666</v>
      </c>
      <c r="J632">
        <f>SUM(Table1[[#This Row],[math score]:[writing score]])</f>
        <v>201</v>
      </c>
      <c r="K632" s="1">
        <f>Table1[[#This Row],[total score]]/3</f>
        <v>67</v>
      </c>
      <c r="L632" s="6" t="str">
        <f>VLOOKUP(Table1[[#This Row],[average score]],$AE$9:$AF$13,2,TRUE)</f>
        <v>D</v>
      </c>
      <c r="M6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32" s="2" t="str">
        <f>IF(OR(Table1[[#This Row],[math score]]&lt;$AC$5,Table1[[#This Row],[reading score]]&lt;$AC$5,Table1[[#This Row],[writing score]]&lt;$AC$5), "Failed atleast one", "Passed all")</f>
        <v>Passed all</v>
      </c>
      <c r="O632" t="str">
        <f>VLOOKUP(Table1[[#This Row],[average score]],$AE$9:$AG$13,3,TRUE)</f>
        <v>Needs improvements</v>
      </c>
    </row>
    <row r="633" spans="1:15" x14ac:dyDescent="0.2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t="s">
        <v>667</v>
      </c>
      <c r="J633">
        <f>SUM(Table1[[#This Row],[math score]:[writing score]])</f>
        <v>204</v>
      </c>
      <c r="K633" s="1">
        <f>Table1[[#This Row],[total score]]/3</f>
        <v>68</v>
      </c>
      <c r="L633" s="6" t="str">
        <f>VLOOKUP(Table1[[#This Row],[average score]],$AE$9:$AF$13,2,TRUE)</f>
        <v>D</v>
      </c>
      <c r="M6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33" s="2" t="str">
        <f>IF(OR(Table1[[#This Row],[math score]]&lt;$AC$5,Table1[[#This Row],[reading score]]&lt;$AC$5,Table1[[#This Row],[writing score]]&lt;$AC$5), "Failed atleast one", "Passed all")</f>
        <v>Passed all</v>
      </c>
      <c r="O633" t="str">
        <f>VLOOKUP(Table1[[#This Row],[average score]],$AE$9:$AG$13,3,TRUE)</f>
        <v>Needs improvements</v>
      </c>
    </row>
    <row r="634" spans="1:15" x14ac:dyDescent="0.2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t="s">
        <v>668</v>
      </c>
      <c r="J634">
        <f>SUM(Table1[[#This Row],[math score]:[writing score]])</f>
        <v>221</v>
      </c>
      <c r="K634" s="1">
        <f>Table1[[#This Row],[total score]]/3</f>
        <v>73.666666666666671</v>
      </c>
      <c r="L634" s="6" t="str">
        <f>VLOOKUP(Table1[[#This Row],[average score]],$AE$9:$AF$13,2,TRUE)</f>
        <v>C</v>
      </c>
      <c r="M6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34" s="2" t="str">
        <f>IF(OR(Table1[[#This Row],[math score]]&lt;$AC$5,Table1[[#This Row],[reading score]]&lt;$AC$5,Table1[[#This Row],[writing score]]&lt;$AC$5), "Failed atleast one", "Passed all")</f>
        <v>Passed all</v>
      </c>
      <c r="O634" t="str">
        <f>VLOOKUP(Table1[[#This Row],[average score]],$AE$9:$AG$13,3,TRUE)</f>
        <v>Satisfactory</v>
      </c>
    </row>
    <row r="635" spans="1:15" x14ac:dyDescent="0.2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t="s">
        <v>669</v>
      </c>
      <c r="J635">
        <f>SUM(Table1[[#This Row],[math score]:[writing score]])</f>
        <v>248</v>
      </c>
      <c r="K635" s="1">
        <f>Table1[[#This Row],[total score]]/3</f>
        <v>82.666666666666671</v>
      </c>
      <c r="L635" s="6" t="str">
        <f>VLOOKUP(Table1[[#This Row],[average score]],$AE$9:$AF$13,2,TRUE)</f>
        <v>B</v>
      </c>
      <c r="M6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35" s="2" t="str">
        <f>IF(OR(Table1[[#This Row],[math score]]&lt;$AC$5,Table1[[#This Row],[reading score]]&lt;$AC$5,Table1[[#This Row],[writing score]]&lt;$AC$5), "Failed atleast one", "Passed all")</f>
        <v>Passed all</v>
      </c>
      <c r="O635" t="str">
        <f>VLOOKUP(Table1[[#This Row],[average score]],$AE$9:$AG$13,3,TRUE)</f>
        <v xml:space="preserve">Good </v>
      </c>
    </row>
    <row r="636" spans="1:15" x14ac:dyDescent="0.2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t="s">
        <v>670</v>
      </c>
      <c r="J636">
        <f>SUM(Table1[[#This Row],[math score]:[writing score]])</f>
        <v>248</v>
      </c>
      <c r="K636" s="1">
        <f>Table1[[#This Row],[total score]]/3</f>
        <v>82.666666666666671</v>
      </c>
      <c r="L636" s="6" t="str">
        <f>VLOOKUP(Table1[[#This Row],[average score]],$AE$9:$AF$13,2,TRUE)</f>
        <v>B</v>
      </c>
      <c r="M6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36" s="2" t="str">
        <f>IF(OR(Table1[[#This Row],[math score]]&lt;$AC$5,Table1[[#This Row],[reading score]]&lt;$AC$5,Table1[[#This Row],[writing score]]&lt;$AC$5), "Failed atleast one", "Passed all")</f>
        <v>Passed all</v>
      </c>
      <c r="O636" t="str">
        <f>VLOOKUP(Table1[[#This Row],[average score]],$AE$9:$AG$13,3,TRUE)</f>
        <v xml:space="preserve">Good </v>
      </c>
    </row>
    <row r="637" spans="1:15" x14ac:dyDescent="0.2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t="s">
        <v>671</v>
      </c>
      <c r="J637">
        <f>SUM(Table1[[#This Row],[math score]:[writing score]])</f>
        <v>209</v>
      </c>
      <c r="K637" s="1">
        <f>Table1[[#This Row],[total score]]/3</f>
        <v>69.666666666666671</v>
      </c>
      <c r="L637" s="6" t="str">
        <f>VLOOKUP(Table1[[#This Row],[average score]],$AE$9:$AF$13,2,TRUE)</f>
        <v>D</v>
      </c>
      <c r="M6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37" s="2" t="str">
        <f>IF(OR(Table1[[#This Row],[math score]]&lt;$AC$5,Table1[[#This Row],[reading score]]&lt;$AC$5,Table1[[#This Row],[writing score]]&lt;$AC$5), "Failed atleast one", "Passed all")</f>
        <v>Passed all</v>
      </c>
      <c r="O637" t="str">
        <f>VLOOKUP(Table1[[#This Row],[average score]],$AE$9:$AG$13,3,TRUE)</f>
        <v>Needs improvements</v>
      </c>
    </row>
    <row r="638" spans="1:15" x14ac:dyDescent="0.2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t="s">
        <v>672</v>
      </c>
      <c r="J638">
        <f>SUM(Table1[[#This Row],[math score]:[writing score]])</f>
        <v>228</v>
      </c>
      <c r="K638" s="1">
        <f>Table1[[#This Row],[total score]]/3</f>
        <v>76</v>
      </c>
      <c r="L638" s="6" t="str">
        <f>VLOOKUP(Table1[[#This Row],[average score]],$AE$9:$AF$13,2,TRUE)</f>
        <v>C</v>
      </c>
      <c r="M6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38" s="2" t="str">
        <f>IF(OR(Table1[[#This Row],[math score]]&lt;$AC$5,Table1[[#This Row],[reading score]]&lt;$AC$5,Table1[[#This Row],[writing score]]&lt;$AC$5), "Failed atleast one", "Passed all")</f>
        <v>Passed all</v>
      </c>
      <c r="O638" t="str">
        <f>VLOOKUP(Table1[[#This Row],[average score]],$AE$9:$AG$13,3,TRUE)</f>
        <v>Satisfactory</v>
      </c>
    </row>
    <row r="639" spans="1:15" x14ac:dyDescent="0.2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t="s">
        <v>673</v>
      </c>
      <c r="J639">
        <f>SUM(Table1[[#This Row],[math score]:[writing score]])</f>
        <v>260</v>
      </c>
      <c r="K639" s="1">
        <f>Table1[[#This Row],[total score]]/3</f>
        <v>86.666666666666671</v>
      </c>
      <c r="L639" s="6" t="str">
        <f>VLOOKUP(Table1[[#This Row],[average score]],$AE$9:$AF$13,2,TRUE)</f>
        <v>B</v>
      </c>
      <c r="M6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39" s="2" t="str">
        <f>IF(OR(Table1[[#This Row],[math score]]&lt;$AC$5,Table1[[#This Row],[reading score]]&lt;$AC$5,Table1[[#This Row],[writing score]]&lt;$AC$5), "Failed atleast one", "Passed all")</f>
        <v>Passed all</v>
      </c>
      <c r="O639" t="str">
        <f>VLOOKUP(Table1[[#This Row],[average score]],$AE$9:$AG$13,3,TRUE)</f>
        <v xml:space="preserve">Good </v>
      </c>
    </row>
    <row r="640" spans="1:15" x14ac:dyDescent="0.2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t="s">
        <v>674</v>
      </c>
      <c r="J640">
        <f>SUM(Table1[[#This Row],[math score]:[writing score]])</f>
        <v>236</v>
      </c>
      <c r="K640" s="1">
        <f>Table1[[#This Row],[total score]]/3</f>
        <v>78.666666666666671</v>
      </c>
      <c r="L640" s="6" t="str">
        <f>VLOOKUP(Table1[[#This Row],[average score]],$AE$9:$AF$13,2,TRUE)</f>
        <v>C</v>
      </c>
      <c r="M6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40" s="2" t="str">
        <f>IF(OR(Table1[[#This Row],[math score]]&lt;$AC$5,Table1[[#This Row],[reading score]]&lt;$AC$5,Table1[[#This Row],[writing score]]&lt;$AC$5), "Failed atleast one", "Passed all")</f>
        <v>Passed all</v>
      </c>
      <c r="O640" t="str">
        <f>VLOOKUP(Table1[[#This Row],[average score]],$AE$9:$AG$13,3,TRUE)</f>
        <v>Satisfactory</v>
      </c>
    </row>
    <row r="641" spans="1:15" x14ac:dyDescent="0.2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t="s">
        <v>675</v>
      </c>
      <c r="J641">
        <f>SUM(Table1[[#This Row],[math score]:[writing score]])</f>
        <v>223</v>
      </c>
      <c r="K641" s="1">
        <f>Table1[[#This Row],[total score]]/3</f>
        <v>74.333333333333329</v>
      </c>
      <c r="L641" s="6" t="str">
        <f>VLOOKUP(Table1[[#This Row],[average score]],$AE$9:$AF$13,2,TRUE)</f>
        <v>C</v>
      </c>
      <c r="M6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41" s="2" t="str">
        <f>IF(OR(Table1[[#This Row],[math score]]&lt;$AC$5,Table1[[#This Row],[reading score]]&lt;$AC$5,Table1[[#This Row],[writing score]]&lt;$AC$5), "Failed atleast one", "Passed all")</f>
        <v>Passed all</v>
      </c>
      <c r="O641" t="str">
        <f>VLOOKUP(Table1[[#This Row],[average score]],$AE$9:$AG$13,3,TRUE)</f>
        <v>Satisfactory</v>
      </c>
    </row>
    <row r="642" spans="1:15" x14ac:dyDescent="0.2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t="s">
        <v>676</v>
      </c>
      <c r="J642">
        <f>SUM(Table1[[#This Row],[math score]:[writing score]])</f>
        <v>144</v>
      </c>
      <c r="K642" s="1">
        <f>Table1[[#This Row],[total score]]/3</f>
        <v>48</v>
      </c>
      <c r="L642" s="6" t="str">
        <f>VLOOKUP(Table1[[#This Row],[average score]],$AE$9:$AF$13,2,TRUE)</f>
        <v>F</v>
      </c>
      <c r="M6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42" s="2" t="str">
        <f>IF(OR(Table1[[#This Row],[math score]]&lt;$AC$5,Table1[[#This Row],[reading score]]&lt;$AC$5,Table1[[#This Row],[writing score]]&lt;$AC$5), "Failed atleast one", "Passed all")</f>
        <v>Failed atleast one</v>
      </c>
      <c r="O642" t="str">
        <f>VLOOKUP(Table1[[#This Row],[average score]],$AE$9:$AG$13,3,TRUE)</f>
        <v>Poor</v>
      </c>
    </row>
    <row r="643" spans="1:15" x14ac:dyDescent="0.2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t="s">
        <v>677</v>
      </c>
      <c r="J643">
        <f>SUM(Table1[[#This Row],[math score]:[writing score]])</f>
        <v>252</v>
      </c>
      <c r="K643" s="1">
        <f>Table1[[#This Row],[total score]]/3</f>
        <v>84</v>
      </c>
      <c r="L643" s="6" t="str">
        <f>VLOOKUP(Table1[[#This Row],[average score]],$AE$9:$AF$13,2,TRUE)</f>
        <v>B</v>
      </c>
      <c r="M6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43" s="2" t="str">
        <f>IF(OR(Table1[[#This Row],[math score]]&lt;$AC$5,Table1[[#This Row],[reading score]]&lt;$AC$5,Table1[[#This Row],[writing score]]&lt;$AC$5), "Failed atleast one", "Passed all")</f>
        <v>Passed all</v>
      </c>
      <c r="O643" t="str">
        <f>VLOOKUP(Table1[[#This Row],[average score]],$AE$9:$AG$13,3,TRUE)</f>
        <v xml:space="preserve">Good </v>
      </c>
    </row>
    <row r="644" spans="1:15" x14ac:dyDescent="0.2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t="s">
        <v>678</v>
      </c>
      <c r="J644">
        <f>SUM(Table1[[#This Row],[math score]:[writing score]])</f>
        <v>232</v>
      </c>
      <c r="K644" s="1">
        <f>Table1[[#This Row],[total score]]/3</f>
        <v>77.333333333333329</v>
      </c>
      <c r="L644" s="6" t="str">
        <f>VLOOKUP(Table1[[#This Row],[average score]],$AE$9:$AF$13,2,TRUE)</f>
        <v>C</v>
      </c>
      <c r="M6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44" s="2" t="str">
        <f>IF(OR(Table1[[#This Row],[math score]]&lt;$AC$5,Table1[[#This Row],[reading score]]&lt;$AC$5,Table1[[#This Row],[writing score]]&lt;$AC$5), "Failed atleast one", "Passed all")</f>
        <v>Passed all</v>
      </c>
      <c r="O644" t="str">
        <f>VLOOKUP(Table1[[#This Row],[average score]],$AE$9:$AG$13,3,TRUE)</f>
        <v>Satisfactory</v>
      </c>
    </row>
    <row r="645" spans="1:15" x14ac:dyDescent="0.2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t="s">
        <v>679</v>
      </c>
      <c r="J645">
        <f>SUM(Table1[[#This Row],[math score]:[writing score]])</f>
        <v>233</v>
      </c>
      <c r="K645" s="1">
        <f>Table1[[#This Row],[total score]]/3</f>
        <v>77.666666666666671</v>
      </c>
      <c r="L645" s="6" t="str">
        <f>VLOOKUP(Table1[[#This Row],[average score]],$AE$9:$AF$13,2,TRUE)</f>
        <v>C</v>
      </c>
      <c r="M6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45" s="2" t="str">
        <f>IF(OR(Table1[[#This Row],[math score]]&lt;$AC$5,Table1[[#This Row],[reading score]]&lt;$AC$5,Table1[[#This Row],[writing score]]&lt;$AC$5), "Failed atleast one", "Passed all")</f>
        <v>Passed all</v>
      </c>
      <c r="O645" t="str">
        <f>VLOOKUP(Table1[[#This Row],[average score]],$AE$9:$AG$13,3,TRUE)</f>
        <v>Satisfactory</v>
      </c>
    </row>
    <row r="646" spans="1:15" x14ac:dyDescent="0.2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t="s">
        <v>680</v>
      </c>
      <c r="J646">
        <f>SUM(Table1[[#This Row],[math score]:[writing score]])</f>
        <v>195</v>
      </c>
      <c r="K646" s="1">
        <f>Table1[[#This Row],[total score]]/3</f>
        <v>65</v>
      </c>
      <c r="L646" s="6" t="str">
        <f>VLOOKUP(Table1[[#This Row],[average score]],$AE$9:$AF$13,2,TRUE)</f>
        <v>D</v>
      </c>
      <c r="M6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46" s="2" t="str">
        <f>IF(OR(Table1[[#This Row],[math score]]&lt;$AC$5,Table1[[#This Row],[reading score]]&lt;$AC$5,Table1[[#This Row],[writing score]]&lt;$AC$5), "Failed atleast one", "Passed all")</f>
        <v>Passed all</v>
      </c>
      <c r="O646" t="str">
        <f>VLOOKUP(Table1[[#This Row],[average score]],$AE$9:$AG$13,3,TRUE)</f>
        <v>Needs improvements</v>
      </c>
    </row>
    <row r="647" spans="1:15" x14ac:dyDescent="0.2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t="s">
        <v>681</v>
      </c>
      <c r="J647">
        <f>SUM(Table1[[#This Row],[math score]:[writing score]])</f>
        <v>227</v>
      </c>
      <c r="K647" s="1">
        <f>Table1[[#This Row],[total score]]/3</f>
        <v>75.666666666666671</v>
      </c>
      <c r="L647" s="6" t="str">
        <f>VLOOKUP(Table1[[#This Row],[average score]],$AE$9:$AF$13,2,TRUE)</f>
        <v>C</v>
      </c>
      <c r="M6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47" s="2" t="str">
        <f>IF(OR(Table1[[#This Row],[math score]]&lt;$AC$5,Table1[[#This Row],[reading score]]&lt;$AC$5,Table1[[#This Row],[writing score]]&lt;$AC$5), "Failed atleast one", "Passed all")</f>
        <v>Passed all</v>
      </c>
      <c r="O647" t="str">
        <f>VLOOKUP(Table1[[#This Row],[average score]],$AE$9:$AG$13,3,TRUE)</f>
        <v>Satisfactory</v>
      </c>
    </row>
    <row r="648" spans="1:15" x14ac:dyDescent="0.2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t="s">
        <v>682</v>
      </c>
      <c r="J648">
        <f>SUM(Table1[[#This Row],[math score]:[writing score]])</f>
        <v>194</v>
      </c>
      <c r="K648" s="1">
        <f>Table1[[#This Row],[total score]]/3</f>
        <v>64.666666666666671</v>
      </c>
      <c r="L648" s="6" t="str">
        <f>VLOOKUP(Table1[[#This Row],[average score]],$AE$9:$AF$13,2,TRUE)</f>
        <v>D</v>
      </c>
      <c r="M6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48" s="2" t="str">
        <f>IF(OR(Table1[[#This Row],[math score]]&lt;$AC$5,Table1[[#This Row],[reading score]]&lt;$AC$5,Table1[[#This Row],[writing score]]&lt;$AC$5), "Failed atleast one", "Passed all")</f>
        <v>Failed atleast one</v>
      </c>
      <c r="O648" t="str">
        <f>VLOOKUP(Table1[[#This Row],[average score]],$AE$9:$AG$13,3,TRUE)</f>
        <v>Needs improvements</v>
      </c>
    </row>
    <row r="649" spans="1:15" x14ac:dyDescent="0.2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t="s">
        <v>683</v>
      </c>
      <c r="J649">
        <f>SUM(Table1[[#This Row],[math score]:[writing score]])</f>
        <v>194</v>
      </c>
      <c r="K649" s="1">
        <f>Table1[[#This Row],[total score]]/3</f>
        <v>64.666666666666671</v>
      </c>
      <c r="L649" s="6" t="str">
        <f>VLOOKUP(Table1[[#This Row],[average score]],$AE$9:$AF$13,2,TRUE)</f>
        <v>D</v>
      </c>
      <c r="M6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49" s="2" t="str">
        <f>IF(OR(Table1[[#This Row],[math score]]&lt;$AC$5,Table1[[#This Row],[reading score]]&lt;$AC$5,Table1[[#This Row],[writing score]]&lt;$AC$5), "Failed atleast one", "Passed all")</f>
        <v>Passed all</v>
      </c>
      <c r="O649" t="str">
        <f>VLOOKUP(Table1[[#This Row],[average score]],$AE$9:$AG$13,3,TRUE)</f>
        <v>Needs improvements</v>
      </c>
    </row>
    <row r="650" spans="1:15" x14ac:dyDescent="0.2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t="s">
        <v>684</v>
      </c>
      <c r="J650">
        <f>SUM(Table1[[#This Row],[math score]:[writing score]])</f>
        <v>158</v>
      </c>
      <c r="K650" s="1">
        <f>Table1[[#This Row],[total score]]/3</f>
        <v>52.666666666666664</v>
      </c>
      <c r="L650" s="6" t="str">
        <f>VLOOKUP(Table1[[#This Row],[average score]],$AE$9:$AF$13,2,TRUE)</f>
        <v>F</v>
      </c>
      <c r="M6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50" s="2" t="str">
        <f>IF(OR(Table1[[#This Row],[math score]]&lt;$AC$5,Table1[[#This Row],[reading score]]&lt;$AC$5,Table1[[#This Row],[writing score]]&lt;$AC$5), "Failed atleast one", "Passed all")</f>
        <v>Failed atleast one</v>
      </c>
      <c r="O650" t="str">
        <f>VLOOKUP(Table1[[#This Row],[average score]],$AE$9:$AG$13,3,TRUE)</f>
        <v>Poor</v>
      </c>
    </row>
    <row r="651" spans="1:15" x14ac:dyDescent="0.2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t="s">
        <v>685</v>
      </c>
      <c r="J651">
        <f>SUM(Table1[[#This Row],[math score]:[writing score]])</f>
        <v>229</v>
      </c>
      <c r="K651" s="1">
        <f>Table1[[#This Row],[total score]]/3</f>
        <v>76.333333333333329</v>
      </c>
      <c r="L651" s="6" t="str">
        <f>VLOOKUP(Table1[[#This Row],[average score]],$AE$9:$AF$13,2,TRUE)</f>
        <v>C</v>
      </c>
      <c r="M6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51" s="2" t="str">
        <f>IF(OR(Table1[[#This Row],[math score]]&lt;$AC$5,Table1[[#This Row],[reading score]]&lt;$AC$5,Table1[[#This Row],[writing score]]&lt;$AC$5), "Failed atleast one", "Passed all")</f>
        <v>Passed all</v>
      </c>
      <c r="O651" t="str">
        <f>VLOOKUP(Table1[[#This Row],[average score]],$AE$9:$AG$13,3,TRUE)</f>
        <v>Satisfactory</v>
      </c>
    </row>
    <row r="652" spans="1:15" x14ac:dyDescent="0.2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t="s">
        <v>686</v>
      </c>
      <c r="J652">
        <f>SUM(Table1[[#This Row],[math score]:[writing score]])</f>
        <v>160</v>
      </c>
      <c r="K652" s="1">
        <f>Table1[[#This Row],[total score]]/3</f>
        <v>53.333333333333336</v>
      </c>
      <c r="L652" s="6" t="str">
        <f>VLOOKUP(Table1[[#This Row],[average score]],$AE$9:$AF$13,2,TRUE)</f>
        <v>F</v>
      </c>
      <c r="M6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52" s="2" t="str">
        <f>IF(OR(Table1[[#This Row],[math score]]&lt;$AC$5,Table1[[#This Row],[reading score]]&lt;$AC$5,Table1[[#This Row],[writing score]]&lt;$AC$5), "Failed atleast one", "Passed all")</f>
        <v>Failed atleast one</v>
      </c>
      <c r="O652" t="str">
        <f>VLOOKUP(Table1[[#This Row],[average score]],$AE$9:$AG$13,3,TRUE)</f>
        <v>Poor</v>
      </c>
    </row>
    <row r="653" spans="1:15" x14ac:dyDescent="0.2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t="s">
        <v>687</v>
      </c>
      <c r="J653">
        <f>SUM(Table1[[#This Row],[math score]:[writing score]])</f>
        <v>224</v>
      </c>
      <c r="K653" s="1">
        <f>Table1[[#This Row],[total score]]/3</f>
        <v>74.666666666666671</v>
      </c>
      <c r="L653" s="6" t="str">
        <f>VLOOKUP(Table1[[#This Row],[average score]],$AE$9:$AF$13,2,TRUE)</f>
        <v>C</v>
      </c>
      <c r="M6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53" s="2" t="str">
        <f>IF(OR(Table1[[#This Row],[math score]]&lt;$AC$5,Table1[[#This Row],[reading score]]&lt;$AC$5,Table1[[#This Row],[writing score]]&lt;$AC$5), "Failed atleast one", "Passed all")</f>
        <v>Passed all</v>
      </c>
      <c r="O653" t="str">
        <f>VLOOKUP(Table1[[#This Row],[average score]],$AE$9:$AG$13,3,TRUE)</f>
        <v>Satisfactory</v>
      </c>
    </row>
    <row r="654" spans="1:15" x14ac:dyDescent="0.2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t="s">
        <v>688</v>
      </c>
      <c r="J654">
        <f>SUM(Table1[[#This Row],[math score]:[writing score]])</f>
        <v>269</v>
      </c>
      <c r="K654" s="1">
        <f>Table1[[#This Row],[total score]]/3</f>
        <v>89.666666666666671</v>
      </c>
      <c r="L654" s="6" t="str">
        <f>VLOOKUP(Table1[[#This Row],[average score]],$AE$9:$AF$13,2,TRUE)</f>
        <v>B</v>
      </c>
      <c r="M6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54" s="2" t="str">
        <f>IF(OR(Table1[[#This Row],[math score]]&lt;$AC$5,Table1[[#This Row],[reading score]]&lt;$AC$5,Table1[[#This Row],[writing score]]&lt;$AC$5), "Failed atleast one", "Passed all")</f>
        <v>Passed all</v>
      </c>
      <c r="O654" t="str">
        <f>VLOOKUP(Table1[[#This Row],[average score]],$AE$9:$AG$13,3,TRUE)</f>
        <v xml:space="preserve">Good </v>
      </c>
    </row>
    <row r="655" spans="1:15" x14ac:dyDescent="0.2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t="s">
        <v>689</v>
      </c>
      <c r="J655">
        <f>SUM(Table1[[#This Row],[math score]:[writing score]])</f>
        <v>209</v>
      </c>
      <c r="K655" s="1">
        <f>Table1[[#This Row],[total score]]/3</f>
        <v>69.666666666666671</v>
      </c>
      <c r="L655" s="6" t="str">
        <f>VLOOKUP(Table1[[#This Row],[average score]],$AE$9:$AF$13,2,TRUE)</f>
        <v>D</v>
      </c>
      <c r="M6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55" s="2" t="str">
        <f>IF(OR(Table1[[#This Row],[math score]]&lt;$AC$5,Table1[[#This Row],[reading score]]&lt;$AC$5,Table1[[#This Row],[writing score]]&lt;$AC$5), "Failed atleast one", "Passed all")</f>
        <v>Passed all</v>
      </c>
      <c r="O655" t="str">
        <f>VLOOKUP(Table1[[#This Row],[average score]],$AE$9:$AG$13,3,TRUE)</f>
        <v>Needs improvements</v>
      </c>
    </row>
    <row r="656" spans="1:15" x14ac:dyDescent="0.2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t="s">
        <v>690</v>
      </c>
      <c r="J656">
        <f>SUM(Table1[[#This Row],[math score]:[writing score]])</f>
        <v>231</v>
      </c>
      <c r="K656" s="1">
        <f>Table1[[#This Row],[total score]]/3</f>
        <v>77</v>
      </c>
      <c r="L656" s="6" t="str">
        <f>VLOOKUP(Table1[[#This Row],[average score]],$AE$9:$AF$13,2,TRUE)</f>
        <v>C</v>
      </c>
      <c r="M6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56" s="2" t="str">
        <f>IF(OR(Table1[[#This Row],[math score]]&lt;$AC$5,Table1[[#This Row],[reading score]]&lt;$AC$5,Table1[[#This Row],[writing score]]&lt;$AC$5), "Failed atleast one", "Passed all")</f>
        <v>Passed all</v>
      </c>
      <c r="O656" t="str">
        <f>VLOOKUP(Table1[[#This Row],[average score]],$AE$9:$AG$13,3,TRUE)</f>
        <v>Satisfactory</v>
      </c>
    </row>
    <row r="657" spans="1:15" x14ac:dyDescent="0.2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t="s">
        <v>691</v>
      </c>
      <c r="J657">
        <f>SUM(Table1[[#This Row],[math score]:[writing score]])</f>
        <v>196</v>
      </c>
      <c r="K657" s="1">
        <f>Table1[[#This Row],[total score]]/3</f>
        <v>65.333333333333329</v>
      </c>
      <c r="L657" s="6" t="str">
        <f>VLOOKUP(Table1[[#This Row],[average score]],$AE$9:$AF$13,2,TRUE)</f>
        <v>D</v>
      </c>
      <c r="M6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57" s="2" t="str">
        <f>IF(OR(Table1[[#This Row],[math score]]&lt;$AC$5,Table1[[#This Row],[reading score]]&lt;$AC$5,Table1[[#This Row],[writing score]]&lt;$AC$5), "Failed atleast one", "Passed all")</f>
        <v>Passed all</v>
      </c>
      <c r="O657" t="str">
        <f>VLOOKUP(Table1[[#This Row],[average score]],$AE$9:$AG$13,3,TRUE)</f>
        <v>Needs improvements</v>
      </c>
    </row>
    <row r="658" spans="1:15" x14ac:dyDescent="0.2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t="s">
        <v>692</v>
      </c>
      <c r="J658">
        <f>SUM(Table1[[#This Row],[math score]:[writing score]])</f>
        <v>208</v>
      </c>
      <c r="K658" s="1">
        <f>Table1[[#This Row],[total score]]/3</f>
        <v>69.333333333333329</v>
      </c>
      <c r="L658" s="6" t="str">
        <f>VLOOKUP(Table1[[#This Row],[average score]],$AE$9:$AF$13,2,TRUE)</f>
        <v>D</v>
      </c>
      <c r="M6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58" s="2" t="str">
        <f>IF(OR(Table1[[#This Row],[math score]]&lt;$AC$5,Table1[[#This Row],[reading score]]&lt;$AC$5,Table1[[#This Row],[writing score]]&lt;$AC$5), "Failed atleast one", "Passed all")</f>
        <v>Passed all</v>
      </c>
      <c r="O658" t="str">
        <f>VLOOKUP(Table1[[#This Row],[average score]],$AE$9:$AG$13,3,TRUE)</f>
        <v>Needs improvements</v>
      </c>
    </row>
    <row r="659" spans="1:15" x14ac:dyDescent="0.2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t="s">
        <v>693</v>
      </c>
      <c r="J659">
        <f>SUM(Table1[[#This Row],[math score]:[writing score]])</f>
        <v>196</v>
      </c>
      <c r="K659" s="1">
        <f>Table1[[#This Row],[total score]]/3</f>
        <v>65.333333333333329</v>
      </c>
      <c r="L659" s="6" t="str">
        <f>VLOOKUP(Table1[[#This Row],[average score]],$AE$9:$AF$13,2,TRUE)</f>
        <v>D</v>
      </c>
      <c r="M6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59" s="2" t="str">
        <f>IF(OR(Table1[[#This Row],[math score]]&lt;$AC$5,Table1[[#This Row],[reading score]]&lt;$AC$5,Table1[[#This Row],[writing score]]&lt;$AC$5), "Failed atleast one", "Passed all")</f>
        <v>Passed all</v>
      </c>
      <c r="O659" t="str">
        <f>VLOOKUP(Table1[[#This Row],[average score]],$AE$9:$AG$13,3,TRUE)</f>
        <v>Needs improvements</v>
      </c>
    </row>
    <row r="660" spans="1:15" x14ac:dyDescent="0.2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t="s">
        <v>694</v>
      </c>
      <c r="J660">
        <f>SUM(Table1[[#This Row],[math score]:[writing score]])</f>
        <v>161</v>
      </c>
      <c r="K660" s="1">
        <f>Table1[[#This Row],[total score]]/3</f>
        <v>53.666666666666664</v>
      </c>
      <c r="L660" s="6" t="str">
        <f>VLOOKUP(Table1[[#This Row],[average score]],$AE$9:$AF$13,2,TRUE)</f>
        <v>F</v>
      </c>
      <c r="M6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60" s="2" t="str">
        <f>IF(OR(Table1[[#This Row],[math score]]&lt;$AC$5,Table1[[#This Row],[reading score]]&lt;$AC$5,Table1[[#This Row],[writing score]]&lt;$AC$5), "Failed atleast one", "Passed all")</f>
        <v>Failed atleast one</v>
      </c>
      <c r="O660" t="str">
        <f>VLOOKUP(Table1[[#This Row],[average score]],$AE$9:$AG$13,3,TRUE)</f>
        <v>Poor</v>
      </c>
    </row>
    <row r="661" spans="1:15" x14ac:dyDescent="0.2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t="s">
        <v>695</v>
      </c>
      <c r="J661">
        <f>SUM(Table1[[#This Row],[math score]:[writing score]])</f>
        <v>262</v>
      </c>
      <c r="K661" s="1">
        <f>Table1[[#This Row],[total score]]/3</f>
        <v>87.333333333333329</v>
      </c>
      <c r="L661" s="6" t="str">
        <f>VLOOKUP(Table1[[#This Row],[average score]],$AE$9:$AF$13,2,TRUE)</f>
        <v>B</v>
      </c>
      <c r="M6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61" s="2" t="str">
        <f>IF(OR(Table1[[#This Row],[math score]]&lt;$AC$5,Table1[[#This Row],[reading score]]&lt;$AC$5,Table1[[#This Row],[writing score]]&lt;$AC$5), "Failed atleast one", "Passed all")</f>
        <v>Passed all</v>
      </c>
      <c r="O661" t="str">
        <f>VLOOKUP(Table1[[#This Row],[average score]],$AE$9:$AG$13,3,TRUE)</f>
        <v xml:space="preserve">Good </v>
      </c>
    </row>
    <row r="662" spans="1:15" x14ac:dyDescent="0.2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t="s">
        <v>696</v>
      </c>
      <c r="J662">
        <f>SUM(Table1[[#This Row],[math score]:[writing score]])</f>
        <v>224</v>
      </c>
      <c r="K662" s="1">
        <f>Table1[[#This Row],[total score]]/3</f>
        <v>74.666666666666671</v>
      </c>
      <c r="L662" s="6" t="str">
        <f>VLOOKUP(Table1[[#This Row],[average score]],$AE$9:$AF$13,2,TRUE)</f>
        <v>C</v>
      </c>
      <c r="M6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62" s="2" t="str">
        <f>IF(OR(Table1[[#This Row],[math score]]&lt;$AC$5,Table1[[#This Row],[reading score]]&lt;$AC$5,Table1[[#This Row],[writing score]]&lt;$AC$5), "Failed atleast one", "Passed all")</f>
        <v>Passed all</v>
      </c>
      <c r="O662" t="str">
        <f>VLOOKUP(Table1[[#This Row],[average score]],$AE$9:$AG$13,3,TRUE)</f>
        <v>Satisfactory</v>
      </c>
    </row>
    <row r="663" spans="1:15" x14ac:dyDescent="0.2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t="s">
        <v>697</v>
      </c>
      <c r="J663">
        <f>SUM(Table1[[#This Row],[math score]:[writing score]])</f>
        <v>202</v>
      </c>
      <c r="K663" s="1">
        <f>Table1[[#This Row],[total score]]/3</f>
        <v>67.333333333333329</v>
      </c>
      <c r="L663" s="6" t="str">
        <f>VLOOKUP(Table1[[#This Row],[average score]],$AE$9:$AF$13,2,TRUE)</f>
        <v>D</v>
      </c>
      <c r="M6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63" s="2" t="str">
        <f>IF(OR(Table1[[#This Row],[math score]]&lt;$AC$5,Table1[[#This Row],[reading score]]&lt;$AC$5,Table1[[#This Row],[writing score]]&lt;$AC$5), "Failed atleast one", "Passed all")</f>
        <v>Passed all</v>
      </c>
      <c r="O663" t="str">
        <f>VLOOKUP(Table1[[#This Row],[average score]],$AE$9:$AG$13,3,TRUE)</f>
        <v>Needs improvements</v>
      </c>
    </row>
    <row r="664" spans="1:15" x14ac:dyDescent="0.2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t="s">
        <v>698</v>
      </c>
      <c r="J664">
        <f>SUM(Table1[[#This Row],[math score]:[writing score]])</f>
        <v>195</v>
      </c>
      <c r="K664" s="1">
        <f>Table1[[#This Row],[total score]]/3</f>
        <v>65</v>
      </c>
      <c r="L664" s="6" t="str">
        <f>VLOOKUP(Table1[[#This Row],[average score]],$AE$9:$AF$13,2,TRUE)</f>
        <v>D</v>
      </c>
      <c r="M6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64" s="2" t="str">
        <f>IF(OR(Table1[[#This Row],[math score]]&lt;$AC$5,Table1[[#This Row],[reading score]]&lt;$AC$5,Table1[[#This Row],[writing score]]&lt;$AC$5), "Failed atleast one", "Passed all")</f>
        <v>Failed atleast one</v>
      </c>
      <c r="O664" t="str">
        <f>VLOOKUP(Table1[[#This Row],[average score]],$AE$9:$AG$13,3,TRUE)</f>
        <v>Needs improvements</v>
      </c>
    </row>
    <row r="665" spans="1:15" x14ac:dyDescent="0.2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t="s">
        <v>699</v>
      </c>
      <c r="J665">
        <f>SUM(Table1[[#This Row],[math score]:[writing score]])</f>
        <v>201</v>
      </c>
      <c r="K665" s="1">
        <f>Table1[[#This Row],[total score]]/3</f>
        <v>67</v>
      </c>
      <c r="L665" s="6" t="str">
        <f>VLOOKUP(Table1[[#This Row],[average score]],$AE$9:$AF$13,2,TRUE)</f>
        <v>D</v>
      </c>
      <c r="M6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65" s="2" t="str">
        <f>IF(OR(Table1[[#This Row],[math score]]&lt;$AC$5,Table1[[#This Row],[reading score]]&lt;$AC$5,Table1[[#This Row],[writing score]]&lt;$AC$5), "Failed atleast one", "Passed all")</f>
        <v>Passed all</v>
      </c>
      <c r="O665" t="str">
        <f>VLOOKUP(Table1[[#This Row],[average score]],$AE$9:$AG$13,3,TRUE)</f>
        <v>Needs improvements</v>
      </c>
    </row>
    <row r="666" spans="1:15" x14ac:dyDescent="0.2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t="s">
        <v>700</v>
      </c>
      <c r="J666">
        <f>SUM(Table1[[#This Row],[math score]:[writing score]])</f>
        <v>206</v>
      </c>
      <c r="K666" s="1">
        <f>Table1[[#This Row],[total score]]/3</f>
        <v>68.666666666666671</v>
      </c>
      <c r="L666" s="6" t="str">
        <f>VLOOKUP(Table1[[#This Row],[average score]],$AE$9:$AF$13,2,TRUE)</f>
        <v>D</v>
      </c>
      <c r="M6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66" s="2" t="str">
        <f>IF(OR(Table1[[#This Row],[math score]]&lt;$AC$5,Table1[[#This Row],[reading score]]&lt;$AC$5,Table1[[#This Row],[writing score]]&lt;$AC$5), "Failed atleast one", "Passed all")</f>
        <v>Passed all</v>
      </c>
      <c r="O666" t="str">
        <f>VLOOKUP(Table1[[#This Row],[average score]],$AE$9:$AG$13,3,TRUE)</f>
        <v>Needs improvements</v>
      </c>
    </row>
    <row r="667" spans="1:15" x14ac:dyDescent="0.2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t="s">
        <v>701</v>
      </c>
      <c r="J667">
        <f>SUM(Table1[[#This Row],[math score]:[writing score]])</f>
        <v>170</v>
      </c>
      <c r="K667" s="1">
        <f>Table1[[#This Row],[total score]]/3</f>
        <v>56.666666666666664</v>
      </c>
      <c r="L667" s="6" t="str">
        <f>VLOOKUP(Table1[[#This Row],[average score]],$AE$9:$AF$13,2,TRUE)</f>
        <v>F</v>
      </c>
      <c r="M6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67" s="2" t="str">
        <f>IF(OR(Table1[[#This Row],[math score]]&lt;$AC$5,Table1[[#This Row],[reading score]]&lt;$AC$5,Table1[[#This Row],[writing score]]&lt;$AC$5), "Failed atleast one", "Passed all")</f>
        <v>Failed atleast one</v>
      </c>
      <c r="O667" t="str">
        <f>VLOOKUP(Table1[[#This Row],[average score]],$AE$9:$AG$13,3,TRUE)</f>
        <v>Poor</v>
      </c>
    </row>
    <row r="668" spans="1:15" x14ac:dyDescent="0.2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t="s">
        <v>702</v>
      </c>
      <c r="J668">
        <f>SUM(Table1[[#This Row],[math score]:[writing score]])</f>
        <v>207</v>
      </c>
      <c r="K668" s="1">
        <f>Table1[[#This Row],[total score]]/3</f>
        <v>69</v>
      </c>
      <c r="L668" s="6" t="str">
        <f>VLOOKUP(Table1[[#This Row],[average score]],$AE$9:$AF$13,2,TRUE)</f>
        <v>D</v>
      </c>
      <c r="M6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68" s="2" t="str">
        <f>IF(OR(Table1[[#This Row],[math score]]&lt;$AC$5,Table1[[#This Row],[reading score]]&lt;$AC$5,Table1[[#This Row],[writing score]]&lt;$AC$5), "Failed atleast one", "Passed all")</f>
        <v>Passed all</v>
      </c>
      <c r="O668" t="str">
        <f>VLOOKUP(Table1[[#This Row],[average score]],$AE$9:$AG$13,3,TRUE)</f>
        <v>Needs improvements</v>
      </c>
    </row>
    <row r="669" spans="1:15" x14ac:dyDescent="0.2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t="s">
        <v>703</v>
      </c>
      <c r="J669">
        <f>SUM(Table1[[#This Row],[math score]:[writing score]])</f>
        <v>249</v>
      </c>
      <c r="K669" s="1">
        <f>Table1[[#This Row],[total score]]/3</f>
        <v>83</v>
      </c>
      <c r="L669" s="6" t="str">
        <f>VLOOKUP(Table1[[#This Row],[average score]],$AE$9:$AF$13,2,TRUE)</f>
        <v>B</v>
      </c>
      <c r="M6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69" s="2" t="str">
        <f>IF(OR(Table1[[#This Row],[math score]]&lt;$AC$5,Table1[[#This Row],[reading score]]&lt;$AC$5,Table1[[#This Row],[writing score]]&lt;$AC$5), "Failed atleast one", "Passed all")</f>
        <v>Passed all</v>
      </c>
      <c r="O669" t="str">
        <f>VLOOKUP(Table1[[#This Row],[average score]],$AE$9:$AG$13,3,TRUE)</f>
        <v xml:space="preserve">Good </v>
      </c>
    </row>
    <row r="670" spans="1:15" x14ac:dyDescent="0.2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t="s">
        <v>704</v>
      </c>
      <c r="J670">
        <f>SUM(Table1[[#This Row],[math score]:[writing score]])</f>
        <v>208</v>
      </c>
      <c r="K670" s="1">
        <f>Table1[[#This Row],[total score]]/3</f>
        <v>69.333333333333329</v>
      </c>
      <c r="L670" s="6" t="str">
        <f>VLOOKUP(Table1[[#This Row],[average score]],$AE$9:$AF$13,2,TRUE)</f>
        <v>D</v>
      </c>
      <c r="M6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70" s="2" t="str">
        <f>IF(OR(Table1[[#This Row],[math score]]&lt;$AC$5,Table1[[#This Row],[reading score]]&lt;$AC$5,Table1[[#This Row],[writing score]]&lt;$AC$5), "Failed atleast one", "Passed all")</f>
        <v>Passed all</v>
      </c>
      <c r="O670" t="str">
        <f>VLOOKUP(Table1[[#This Row],[average score]],$AE$9:$AG$13,3,TRUE)</f>
        <v>Needs improvements</v>
      </c>
    </row>
    <row r="671" spans="1:15" x14ac:dyDescent="0.2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t="s">
        <v>705</v>
      </c>
      <c r="J671">
        <f>SUM(Table1[[#This Row],[math score]:[writing score]])</f>
        <v>230</v>
      </c>
      <c r="K671" s="1">
        <f>Table1[[#This Row],[total score]]/3</f>
        <v>76.666666666666671</v>
      </c>
      <c r="L671" s="6" t="str">
        <f>VLOOKUP(Table1[[#This Row],[average score]],$AE$9:$AF$13,2,TRUE)</f>
        <v>C</v>
      </c>
      <c r="M6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1" s="2" t="str">
        <f>IF(OR(Table1[[#This Row],[math score]]&lt;$AC$5,Table1[[#This Row],[reading score]]&lt;$AC$5,Table1[[#This Row],[writing score]]&lt;$AC$5), "Failed atleast one", "Passed all")</f>
        <v>Passed all</v>
      </c>
      <c r="O671" t="str">
        <f>VLOOKUP(Table1[[#This Row],[average score]],$AE$9:$AG$13,3,TRUE)</f>
        <v>Satisfactory</v>
      </c>
    </row>
    <row r="672" spans="1:15" x14ac:dyDescent="0.2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t="s">
        <v>706</v>
      </c>
      <c r="J672">
        <f>SUM(Table1[[#This Row],[math score]:[writing score]])</f>
        <v>210</v>
      </c>
      <c r="K672" s="1">
        <f>Table1[[#This Row],[total score]]/3</f>
        <v>70</v>
      </c>
      <c r="L672" s="6" t="str">
        <f>VLOOKUP(Table1[[#This Row],[average score]],$AE$9:$AF$13,2,TRUE)</f>
        <v>C</v>
      </c>
      <c r="M6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2" s="2" t="str">
        <f>IF(OR(Table1[[#This Row],[math score]]&lt;$AC$5,Table1[[#This Row],[reading score]]&lt;$AC$5,Table1[[#This Row],[writing score]]&lt;$AC$5), "Failed atleast one", "Passed all")</f>
        <v>Passed all</v>
      </c>
      <c r="O672" t="str">
        <f>VLOOKUP(Table1[[#This Row],[average score]],$AE$9:$AG$13,3,TRUE)</f>
        <v>Satisfactory</v>
      </c>
    </row>
    <row r="673" spans="1:15" x14ac:dyDescent="0.2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t="s">
        <v>707</v>
      </c>
      <c r="J673">
        <f>SUM(Table1[[#This Row],[math score]:[writing score]])</f>
        <v>159</v>
      </c>
      <c r="K673" s="1">
        <f>Table1[[#This Row],[total score]]/3</f>
        <v>53</v>
      </c>
      <c r="L673" s="6" t="str">
        <f>VLOOKUP(Table1[[#This Row],[average score]],$AE$9:$AF$13,2,TRUE)</f>
        <v>F</v>
      </c>
      <c r="M6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73" s="2" t="str">
        <f>IF(OR(Table1[[#This Row],[math score]]&lt;$AC$5,Table1[[#This Row],[reading score]]&lt;$AC$5,Table1[[#This Row],[writing score]]&lt;$AC$5), "Failed atleast one", "Passed all")</f>
        <v>Failed atleast one</v>
      </c>
      <c r="O673" t="str">
        <f>VLOOKUP(Table1[[#This Row],[average score]],$AE$9:$AG$13,3,TRUE)</f>
        <v>Poor</v>
      </c>
    </row>
    <row r="674" spans="1:15" x14ac:dyDescent="0.2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t="s">
        <v>708</v>
      </c>
      <c r="J674">
        <f>SUM(Table1[[#This Row],[math score]:[writing score]])</f>
        <v>223</v>
      </c>
      <c r="K674" s="1">
        <f>Table1[[#This Row],[total score]]/3</f>
        <v>74.333333333333329</v>
      </c>
      <c r="L674" s="6" t="str">
        <f>VLOOKUP(Table1[[#This Row],[average score]],$AE$9:$AF$13,2,TRUE)</f>
        <v>C</v>
      </c>
      <c r="M6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4" s="2" t="str">
        <f>IF(OR(Table1[[#This Row],[math score]]&lt;$AC$5,Table1[[#This Row],[reading score]]&lt;$AC$5,Table1[[#This Row],[writing score]]&lt;$AC$5), "Failed atleast one", "Passed all")</f>
        <v>Passed all</v>
      </c>
      <c r="O674" t="str">
        <f>VLOOKUP(Table1[[#This Row],[average score]],$AE$9:$AG$13,3,TRUE)</f>
        <v>Satisfactory</v>
      </c>
    </row>
    <row r="675" spans="1:15" x14ac:dyDescent="0.2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t="s">
        <v>709</v>
      </c>
      <c r="J675">
        <f>SUM(Table1[[#This Row],[math score]:[writing score]])</f>
        <v>233</v>
      </c>
      <c r="K675" s="1">
        <f>Table1[[#This Row],[total score]]/3</f>
        <v>77.666666666666671</v>
      </c>
      <c r="L675" s="6" t="str">
        <f>VLOOKUP(Table1[[#This Row],[average score]],$AE$9:$AF$13,2,TRUE)</f>
        <v>C</v>
      </c>
      <c r="M6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5" s="2" t="str">
        <f>IF(OR(Table1[[#This Row],[math score]]&lt;$AC$5,Table1[[#This Row],[reading score]]&lt;$AC$5,Table1[[#This Row],[writing score]]&lt;$AC$5), "Failed atleast one", "Passed all")</f>
        <v>Passed all</v>
      </c>
      <c r="O675" t="str">
        <f>VLOOKUP(Table1[[#This Row],[average score]],$AE$9:$AG$13,3,TRUE)</f>
        <v>Satisfactory</v>
      </c>
    </row>
    <row r="676" spans="1:15" x14ac:dyDescent="0.2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t="s">
        <v>710</v>
      </c>
      <c r="J676">
        <f>SUM(Table1[[#This Row],[math score]:[writing score]])</f>
        <v>224</v>
      </c>
      <c r="K676" s="1">
        <f>Table1[[#This Row],[total score]]/3</f>
        <v>74.666666666666671</v>
      </c>
      <c r="L676" s="6" t="str">
        <f>VLOOKUP(Table1[[#This Row],[average score]],$AE$9:$AF$13,2,TRUE)</f>
        <v>C</v>
      </c>
      <c r="M6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6" s="2" t="str">
        <f>IF(OR(Table1[[#This Row],[math score]]&lt;$AC$5,Table1[[#This Row],[reading score]]&lt;$AC$5,Table1[[#This Row],[writing score]]&lt;$AC$5), "Failed atleast one", "Passed all")</f>
        <v>Passed all</v>
      </c>
      <c r="O676" t="str">
        <f>VLOOKUP(Table1[[#This Row],[average score]],$AE$9:$AG$13,3,TRUE)</f>
        <v>Satisfactory</v>
      </c>
    </row>
    <row r="677" spans="1:15" x14ac:dyDescent="0.2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t="s">
        <v>711</v>
      </c>
      <c r="J677">
        <f>SUM(Table1[[#This Row],[math score]:[writing score]])</f>
        <v>180</v>
      </c>
      <c r="K677" s="1">
        <f>Table1[[#This Row],[total score]]/3</f>
        <v>60</v>
      </c>
      <c r="L677" s="6" t="str">
        <f>VLOOKUP(Table1[[#This Row],[average score]],$AE$9:$AF$13,2,TRUE)</f>
        <v>D</v>
      </c>
      <c r="M6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77" s="2" t="str">
        <f>IF(OR(Table1[[#This Row],[math score]]&lt;$AC$5,Table1[[#This Row],[reading score]]&lt;$AC$5,Table1[[#This Row],[writing score]]&lt;$AC$5), "Failed atleast one", "Passed all")</f>
        <v>Failed atleast one</v>
      </c>
      <c r="O677" t="str">
        <f>VLOOKUP(Table1[[#This Row],[average score]],$AE$9:$AG$13,3,TRUE)</f>
        <v>Needs improvements</v>
      </c>
    </row>
    <row r="678" spans="1:15" x14ac:dyDescent="0.2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t="s">
        <v>712</v>
      </c>
      <c r="J678">
        <f>SUM(Table1[[#This Row],[math score]:[writing score]])</f>
        <v>227</v>
      </c>
      <c r="K678" s="1">
        <f>Table1[[#This Row],[total score]]/3</f>
        <v>75.666666666666671</v>
      </c>
      <c r="L678" s="6" t="str">
        <f>VLOOKUP(Table1[[#This Row],[average score]],$AE$9:$AF$13,2,TRUE)</f>
        <v>C</v>
      </c>
      <c r="M6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8" s="2" t="str">
        <f>IF(OR(Table1[[#This Row],[math score]]&lt;$AC$5,Table1[[#This Row],[reading score]]&lt;$AC$5,Table1[[#This Row],[writing score]]&lt;$AC$5), "Failed atleast one", "Passed all")</f>
        <v>Passed all</v>
      </c>
      <c r="O678" t="str">
        <f>VLOOKUP(Table1[[#This Row],[average score]],$AE$9:$AG$13,3,TRUE)</f>
        <v>Satisfactory</v>
      </c>
    </row>
    <row r="679" spans="1:15" x14ac:dyDescent="0.2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t="s">
        <v>713</v>
      </c>
      <c r="J679">
        <f>SUM(Table1[[#This Row],[math score]:[writing score]])</f>
        <v>228</v>
      </c>
      <c r="K679" s="1">
        <f>Table1[[#This Row],[total score]]/3</f>
        <v>76</v>
      </c>
      <c r="L679" s="6" t="str">
        <f>VLOOKUP(Table1[[#This Row],[average score]],$AE$9:$AF$13,2,TRUE)</f>
        <v>C</v>
      </c>
      <c r="M6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79" s="2" t="str">
        <f>IF(OR(Table1[[#This Row],[math score]]&lt;$AC$5,Table1[[#This Row],[reading score]]&lt;$AC$5,Table1[[#This Row],[writing score]]&lt;$AC$5), "Failed atleast one", "Passed all")</f>
        <v>Passed all</v>
      </c>
      <c r="O679" t="str">
        <f>VLOOKUP(Table1[[#This Row],[average score]],$AE$9:$AG$13,3,TRUE)</f>
        <v>Satisfactory</v>
      </c>
    </row>
    <row r="680" spans="1:15" x14ac:dyDescent="0.2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t="s">
        <v>714</v>
      </c>
      <c r="J680">
        <f>SUM(Table1[[#This Row],[math score]:[writing score]])</f>
        <v>234</v>
      </c>
      <c r="K680" s="1">
        <f>Table1[[#This Row],[total score]]/3</f>
        <v>78</v>
      </c>
      <c r="L680" s="6" t="str">
        <f>VLOOKUP(Table1[[#This Row],[average score]],$AE$9:$AF$13,2,TRUE)</f>
        <v>C</v>
      </c>
      <c r="M6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80" s="2" t="str">
        <f>IF(OR(Table1[[#This Row],[math score]]&lt;$AC$5,Table1[[#This Row],[reading score]]&lt;$AC$5,Table1[[#This Row],[writing score]]&lt;$AC$5), "Failed atleast one", "Passed all")</f>
        <v>Passed all</v>
      </c>
      <c r="O680" t="str">
        <f>VLOOKUP(Table1[[#This Row],[average score]],$AE$9:$AG$13,3,TRUE)</f>
        <v>Satisfactory</v>
      </c>
    </row>
    <row r="681" spans="1:15" x14ac:dyDescent="0.2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t="s">
        <v>715</v>
      </c>
      <c r="J681">
        <f>SUM(Table1[[#This Row],[math score]:[writing score]])</f>
        <v>184</v>
      </c>
      <c r="K681" s="1">
        <f>Table1[[#This Row],[total score]]/3</f>
        <v>61.333333333333336</v>
      </c>
      <c r="L681" s="6" t="str">
        <f>VLOOKUP(Table1[[#This Row],[average score]],$AE$9:$AF$13,2,TRUE)</f>
        <v>D</v>
      </c>
      <c r="M6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81" s="2" t="str">
        <f>IF(OR(Table1[[#This Row],[math score]]&lt;$AC$5,Table1[[#This Row],[reading score]]&lt;$AC$5,Table1[[#This Row],[writing score]]&lt;$AC$5), "Failed atleast one", "Passed all")</f>
        <v>Passed all</v>
      </c>
      <c r="O681" t="str">
        <f>VLOOKUP(Table1[[#This Row],[average score]],$AE$9:$AG$13,3,TRUE)</f>
        <v>Needs improvements</v>
      </c>
    </row>
    <row r="682" spans="1:15" x14ac:dyDescent="0.2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t="s">
        <v>716</v>
      </c>
      <c r="J682">
        <f>SUM(Table1[[#This Row],[math score]:[writing score]])</f>
        <v>213</v>
      </c>
      <c r="K682" s="1">
        <f>Table1[[#This Row],[total score]]/3</f>
        <v>71</v>
      </c>
      <c r="L682" s="6" t="str">
        <f>VLOOKUP(Table1[[#This Row],[average score]],$AE$9:$AF$13,2,TRUE)</f>
        <v>C</v>
      </c>
      <c r="M6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82" s="2" t="str">
        <f>IF(OR(Table1[[#This Row],[math score]]&lt;$AC$5,Table1[[#This Row],[reading score]]&lt;$AC$5,Table1[[#This Row],[writing score]]&lt;$AC$5), "Failed atleast one", "Passed all")</f>
        <v>Passed all</v>
      </c>
      <c r="O682" t="str">
        <f>VLOOKUP(Table1[[#This Row],[average score]],$AE$9:$AG$13,3,TRUE)</f>
        <v>Satisfactory</v>
      </c>
    </row>
    <row r="683" spans="1:15" x14ac:dyDescent="0.2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t="s">
        <v>717</v>
      </c>
      <c r="J683">
        <f>SUM(Table1[[#This Row],[math score]:[writing score]])</f>
        <v>188</v>
      </c>
      <c r="K683" s="1">
        <f>Table1[[#This Row],[total score]]/3</f>
        <v>62.666666666666664</v>
      </c>
      <c r="L683" s="6" t="str">
        <f>VLOOKUP(Table1[[#This Row],[average score]],$AE$9:$AF$13,2,TRUE)</f>
        <v>D</v>
      </c>
      <c r="M6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83" s="2" t="str">
        <f>IF(OR(Table1[[#This Row],[math score]]&lt;$AC$5,Table1[[#This Row],[reading score]]&lt;$AC$5,Table1[[#This Row],[writing score]]&lt;$AC$5), "Failed atleast one", "Passed all")</f>
        <v>Passed all</v>
      </c>
      <c r="O683" t="str">
        <f>VLOOKUP(Table1[[#This Row],[average score]],$AE$9:$AG$13,3,TRUE)</f>
        <v>Needs improvements</v>
      </c>
    </row>
    <row r="684" spans="1:15" x14ac:dyDescent="0.2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t="s">
        <v>718</v>
      </c>
      <c r="J684">
        <f>SUM(Table1[[#This Row],[math score]:[writing score]])</f>
        <v>171</v>
      </c>
      <c r="K684" s="1">
        <f>Table1[[#This Row],[total score]]/3</f>
        <v>57</v>
      </c>
      <c r="L684" s="6" t="str">
        <f>VLOOKUP(Table1[[#This Row],[average score]],$AE$9:$AF$13,2,TRUE)</f>
        <v>F</v>
      </c>
      <c r="M6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84" s="2" t="str">
        <f>IF(OR(Table1[[#This Row],[math score]]&lt;$AC$5,Table1[[#This Row],[reading score]]&lt;$AC$5,Table1[[#This Row],[writing score]]&lt;$AC$5), "Failed atleast one", "Passed all")</f>
        <v>Failed atleast one</v>
      </c>
      <c r="O684" t="str">
        <f>VLOOKUP(Table1[[#This Row],[average score]],$AE$9:$AG$13,3,TRUE)</f>
        <v>Poor</v>
      </c>
    </row>
    <row r="685" spans="1:15" x14ac:dyDescent="0.2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t="s">
        <v>719</v>
      </c>
      <c r="J685">
        <f>SUM(Table1[[#This Row],[math score]:[writing score]])</f>
        <v>113</v>
      </c>
      <c r="K685" s="1">
        <f>Table1[[#This Row],[total score]]/3</f>
        <v>37.666666666666664</v>
      </c>
      <c r="L685" s="6" t="str">
        <f>VLOOKUP(Table1[[#This Row],[average score]],$AE$9:$AF$13,2,TRUE)</f>
        <v>F</v>
      </c>
      <c r="M6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85" s="2" t="str">
        <f>IF(OR(Table1[[#This Row],[math score]]&lt;$AC$5,Table1[[#This Row],[reading score]]&lt;$AC$5,Table1[[#This Row],[writing score]]&lt;$AC$5), "Failed atleast one", "Passed all")</f>
        <v>Failed atleast one</v>
      </c>
      <c r="O685" t="str">
        <f>VLOOKUP(Table1[[#This Row],[average score]],$AE$9:$AG$13,3,TRUE)</f>
        <v>Poor</v>
      </c>
    </row>
    <row r="686" spans="1:15" x14ac:dyDescent="0.2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t="s">
        <v>720</v>
      </c>
      <c r="J686">
        <f>SUM(Table1[[#This Row],[math score]:[writing score]])</f>
        <v>196</v>
      </c>
      <c r="K686" s="1">
        <f>Table1[[#This Row],[total score]]/3</f>
        <v>65.333333333333329</v>
      </c>
      <c r="L686" s="6" t="str">
        <f>VLOOKUP(Table1[[#This Row],[average score]],$AE$9:$AF$13,2,TRUE)</f>
        <v>D</v>
      </c>
      <c r="M6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86" s="2" t="str">
        <f>IF(OR(Table1[[#This Row],[math score]]&lt;$AC$5,Table1[[#This Row],[reading score]]&lt;$AC$5,Table1[[#This Row],[writing score]]&lt;$AC$5), "Failed atleast one", "Passed all")</f>
        <v>Passed all</v>
      </c>
      <c r="O686" t="str">
        <f>VLOOKUP(Table1[[#This Row],[average score]],$AE$9:$AG$13,3,TRUE)</f>
        <v>Needs improvements</v>
      </c>
    </row>
    <row r="687" spans="1:15" x14ac:dyDescent="0.2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t="s">
        <v>721</v>
      </c>
      <c r="J687">
        <f>SUM(Table1[[#This Row],[math score]:[writing score]])</f>
        <v>293</v>
      </c>
      <c r="K687" s="1">
        <f>Table1[[#This Row],[total score]]/3</f>
        <v>97.666666666666671</v>
      </c>
      <c r="L687" s="6" t="str">
        <f>VLOOKUP(Table1[[#This Row],[average score]],$AE$9:$AF$13,2,TRUE)</f>
        <v>A</v>
      </c>
      <c r="M6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687" s="2" t="str">
        <f>IF(OR(Table1[[#This Row],[math score]]&lt;$AC$5,Table1[[#This Row],[reading score]]&lt;$AC$5,Table1[[#This Row],[writing score]]&lt;$AC$5), "Failed atleast one", "Passed all")</f>
        <v>Passed all</v>
      </c>
      <c r="O687" t="str">
        <f>VLOOKUP(Table1[[#This Row],[average score]],$AE$9:$AG$13,3,TRUE)</f>
        <v>Outstanding</v>
      </c>
    </row>
    <row r="688" spans="1:15" x14ac:dyDescent="0.2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t="s">
        <v>722</v>
      </c>
      <c r="J688">
        <f>SUM(Table1[[#This Row],[math score]:[writing score]])</f>
        <v>228</v>
      </c>
      <c r="K688" s="1">
        <f>Table1[[#This Row],[total score]]/3</f>
        <v>76</v>
      </c>
      <c r="L688" s="6" t="str">
        <f>VLOOKUP(Table1[[#This Row],[average score]],$AE$9:$AF$13,2,TRUE)</f>
        <v>C</v>
      </c>
      <c r="M6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88" s="2" t="str">
        <f>IF(OR(Table1[[#This Row],[math score]]&lt;$AC$5,Table1[[#This Row],[reading score]]&lt;$AC$5,Table1[[#This Row],[writing score]]&lt;$AC$5), "Failed atleast one", "Passed all")</f>
        <v>Passed all</v>
      </c>
      <c r="O688" t="str">
        <f>VLOOKUP(Table1[[#This Row],[average score]],$AE$9:$AG$13,3,TRUE)</f>
        <v>Satisfactory</v>
      </c>
    </row>
    <row r="689" spans="1:15" x14ac:dyDescent="0.2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t="s">
        <v>723</v>
      </c>
      <c r="J689">
        <f>SUM(Table1[[#This Row],[math score]:[writing score]])</f>
        <v>228</v>
      </c>
      <c r="K689" s="1">
        <f>Table1[[#This Row],[total score]]/3</f>
        <v>76</v>
      </c>
      <c r="L689" s="6" t="str">
        <f>VLOOKUP(Table1[[#This Row],[average score]],$AE$9:$AF$13,2,TRUE)</f>
        <v>C</v>
      </c>
      <c r="M6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89" s="2" t="str">
        <f>IF(OR(Table1[[#This Row],[math score]]&lt;$AC$5,Table1[[#This Row],[reading score]]&lt;$AC$5,Table1[[#This Row],[writing score]]&lt;$AC$5), "Failed atleast one", "Passed all")</f>
        <v>Passed all</v>
      </c>
      <c r="O689" t="str">
        <f>VLOOKUP(Table1[[#This Row],[average score]],$AE$9:$AG$13,3,TRUE)</f>
        <v>Satisfactory</v>
      </c>
    </row>
    <row r="690" spans="1:15" x14ac:dyDescent="0.2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t="s">
        <v>724</v>
      </c>
      <c r="J690">
        <f>SUM(Table1[[#This Row],[math score]:[writing score]])</f>
        <v>155</v>
      </c>
      <c r="K690" s="1">
        <f>Table1[[#This Row],[total score]]/3</f>
        <v>51.666666666666664</v>
      </c>
      <c r="L690" s="6" t="str">
        <f>VLOOKUP(Table1[[#This Row],[average score]],$AE$9:$AF$13,2,TRUE)</f>
        <v>F</v>
      </c>
      <c r="M6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90" s="2" t="str">
        <f>IF(OR(Table1[[#This Row],[math score]]&lt;$AC$5,Table1[[#This Row],[reading score]]&lt;$AC$5,Table1[[#This Row],[writing score]]&lt;$AC$5), "Failed atleast one", "Passed all")</f>
        <v>Failed atleast one</v>
      </c>
      <c r="O690" t="str">
        <f>VLOOKUP(Table1[[#This Row],[average score]],$AE$9:$AG$13,3,TRUE)</f>
        <v>Poor</v>
      </c>
    </row>
    <row r="691" spans="1:15" x14ac:dyDescent="0.2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t="s">
        <v>725</v>
      </c>
      <c r="J691">
        <f>SUM(Table1[[#This Row],[math score]:[writing score]])</f>
        <v>266</v>
      </c>
      <c r="K691" s="1">
        <f>Table1[[#This Row],[total score]]/3</f>
        <v>88.666666666666671</v>
      </c>
      <c r="L691" s="6" t="str">
        <f>VLOOKUP(Table1[[#This Row],[average score]],$AE$9:$AF$13,2,TRUE)</f>
        <v>B</v>
      </c>
      <c r="M6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91" s="2" t="str">
        <f>IF(OR(Table1[[#This Row],[math score]]&lt;$AC$5,Table1[[#This Row],[reading score]]&lt;$AC$5,Table1[[#This Row],[writing score]]&lt;$AC$5), "Failed atleast one", "Passed all")</f>
        <v>Passed all</v>
      </c>
      <c r="O691" t="str">
        <f>VLOOKUP(Table1[[#This Row],[average score]],$AE$9:$AG$13,3,TRUE)</f>
        <v xml:space="preserve">Good </v>
      </c>
    </row>
    <row r="692" spans="1:15" x14ac:dyDescent="0.2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t="s">
        <v>726</v>
      </c>
      <c r="J692">
        <f>SUM(Table1[[#This Row],[math score]:[writing score]])</f>
        <v>155</v>
      </c>
      <c r="K692" s="1">
        <f>Table1[[#This Row],[total score]]/3</f>
        <v>51.666666666666664</v>
      </c>
      <c r="L692" s="6" t="str">
        <f>VLOOKUP(Table1[[#This Row],[average score]],$AE$9:$AF$13,2,TRUE)</f>
        <v>F</v>
      </c>
      <c r="M6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92" s="2" t="str">
        <f>IF(OR(Table1[[#This Row],[math score]]&lt;$AC$5,Table1[[#This Row],[reading score]]&lt;$AC$5,Table1[[#This Row],[writing score]]&lt;$AC$5), "Failed atleast one", "Passed all")</f>
        <v>Failed atleast one</v>
      </c>
      <c r="O692" t="str">
        <f>VLOOKUP(Table1[[#This Row],[average score]],$AE$9:$AG$13,3,TRUE)</f>
        <v>Poor</v>
      </c>
    </row>
    <row r="693" spans="1:15" x14ac:dyDescent="0.2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t="s">
        <v>727</v>
      </c>
      <c r="J693">
        <f>SUM(Table1[[#This Row],[math score]:[writing score]])</f>
        <v>227</v>
      </c>
      <c r="K693" s="1">
        <f>Table1[[#This Row],[total score]]/3</f>
        <v>75.666666666666671</v>
      </c>
      <c r="L693" s="6" t="str">
        <f>VLOOKUP(Table1[[#This Row],[average score]],$AE$9:$AF$13,2,TRUE)</f>
        <v>C</v>
      </c>
      <c r="M6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93" s="2" t="str">
        <f>IF(OR(Table1[[#This Row],[math score]]&lt;$AC$5,Table1[[#This Row],[reading score]]&lt;$AC$5,Table1[[#This Row],[writing score]]&lt;$AC$5), "Failed atleast one", "Passed all")</f>
        <v>Passed all</v>
      </c>
      <c r="O693" t="str">
        <f>VLOOKUP(Table1[[#This Row],[average score]],$AE$9:$AG$13,3,TRUE)</f>
        <v>Satisfactory</v>
      </c>
    </row>
    <row r="694" spans="1:15" x14ac:dyDescent="0.2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t="s">
        <v>728</v>
      </c>
      <c r="J694">
        <f>SUM(Table1[[#This Row],[math score]:[writing score]])</f>
        <v>221</v>
      </c>
      <c r="K694" s="1">
        <f>Table1[[#This Row],[total score]]/3</f>
        <v>73.666666666666671</v>
      </c>
      <c r="L694" s="6" t="str">
        <f>VLOOKUP(Table1[[#This Row],[average score]],$AE$9:$AF$13,2,TRUE)</f>
        <v>C</v>
      </c>
      <c r="M6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94" s="2" t="str">
        <f>IF(OR(Table1[[#This Row],[math score]]&lt;$AC$5,Table1[[#This Row],[reading score]]&lt;$AC$5,Table1[[#This Row],[writing score]]&lt;$AC$5), "Failed atleast one", "Passed all")</f>
        <v>Passed all</v>
      </c>
      <c r="O694" t="str">
        <f>VLOOKUP(Table1[[#This Row],[average score]],$AE$9:$AG$13,3,TRUE)</f>
        <v>Satisfactory</v>
      </c>
    </row>
    <row r="695" spans="1:15" x14ac:dyDescent="0.2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t="s">
        <v>729</v>
      </c>
      <c r="J695">
        <f>SUM(Table1[[#This Row],[math score]:[writing score]])</f>
        <v>227</v>
      </c>
      <c r="K695" s="1">
        <f>Table1[[#This Row],[total score]]/3</f>
        <v>75.666666666666671</v>
      </c>
      <c r="L695" s="6" t="str">
        <f>VLOOKUP(Table1[[#This Row],[average score]],$AE$9:$AF$13,2,TRUE)</f>
        <v>C</v>
      </c>
      <c r="M6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695" s="2" t="str">
        <f>IF(OR(Table1[[#This Row],[math score]]&lt;$AC$5,Table1[[#This Row],[reading score]]&lt;$AC$5,Table1[[#This Row],[writing score]]&lt;$AC$5), "Failed atleast one", "Passed all")</f>
        <v>Passed all</v>
      </c>
      <c r="O695" t="str">
        <f>VLOOKUP(Table1[[#This Row],[average score]],$AE$9:$AG$13,3,TRUE)</f>
        <v>Satisfactory</v>
      </c>
    </row>
    <row r="696" spans="1:15" x14ac:dyDescent="0.2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t="s">
        <v>730</v>
      </c>
      <c r="J696">
        <f>SUM(Table1[[#This Row],[math score]:[writing score]])</f>
        <v>168</v>
      </c>
      <c r="K696" s="1">
        <f>Table1[[#This Row],[total score]]/3</f>
        <v>56</v>
      </c>
      <c r="L696" s="6" t="str">
        <f>VLOOKUP(Table1[[#This Row],[average score]],$AE$9:$AF$13,2,TRUE)</f>
        <v>F</v>
      </c>
      <c r="M6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696" s="2" t="str">
        <f>IF(OR(Table1[[#This Row],[math score]]&lt;$AC$5,Table1[[#This Row],[reading score]]&lt;$AC$5,Table1[[#This Row],[writing score]]&lt;$AC$5), "Failed atleast one", "Passed all")</f>
        <v>Failed atleast one</v>
      </c>
      <c r="O696" t="str">
        <f>VLOOKUP(Table1[[#This Row],[average score]],$AE$9:$AG$13,3,TRUE)</f>
        <v>Poor</v>
      </c>
    </row>
    <row r="697" spans="1:15" x14ac:dyDescent="0.2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t="s">
        <v>731</v>
      </c>
      <c r="J697">
        <f>SUM(Table1[[#This Row],[math score]:[writing score]])</f>
        <v>254</v>
      </c>
      <c r="K697" s="1">
        <f>Table1[[#This Row],[total score]]/3</f>
        <v>84.666666666666671</v>
      </c>
      <c r="L697" s="6" t="str">
        <f>VLOOKUP(Table1[[#This Row],[average score]],$AE$9:$AF$13,2,TRUE)</f>
        <v>B</v>
      </c>
      <c r="M6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97" s="2" t="str">
        <f>IF(OR(Table1[[#This Row],[math score]]&lt;$AC$5,Table1[[#This Row],[reading score]]&lt;$AC$5,Table1[[#This Row],[writing score]]&lt;$AC$5), "Failed atleast one", "Passed all")</f>
        <v>Passed all</v>
      </c>
      <c r="O697" t="str">
        <f>VLOOKUP(Table1[[#This Row],[average score]],$AE$9:$AG$13,3,TRUE)</f>
        <v xml:space="preserve">Good </v>
      </c>
    </row>
    <row r="698" spans="1:15" x14ac:dyDescent="0.2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t="s">
        <v>732</v>
      </c>
      <c r="J698">
        <f>SUM(Table1[[#This Row],[math score]:[writing score]])</f>
        <v>247</v>
      </c>
      <c r="K698" s="1">
        <f>Table1[[#This Row],[total score]]/3</f>
        <v>82.333333333333329</v>
      </c>
      <c r="L698" s="6" t="str">
        <f>VLOOKUP(Table1[[#This Row],[average score]],$AE$9:$AF$13,2,TRUE)</f>
        <v>B</v>
      </c>
      <c r="M6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698" s="2" t="str">
        <f>IF(OR(Table1[[#This Row],[math score]]&lt;$AC$5,Table1[[#This Row],[reading score]]&lt;$AC$5,Table1[[#This Row],[writing score]]&lt;$AC$5), "Failed atleast one", "Passed all")</f>
        <v>Passed all</v>
      </c>
      <c r="O698" t="str">
        <f>VLOOKUP(Table1[[#This Row],[average score]],$AE$9:$AG$13,3,TRUE)</f>
        <v xml:space="preserve">Good </v>
      </c>
    </row>
    <row r="699" spans="1:15" x14ac:dyDescent="0.2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t="s">
        <v>733</v>
      </c>
      <c r="J699">
        <f>SUM(Table1[[#This Row],[math score]:[writing score]])</f>
        <v>201</v>
      </c>
      <c r="K699" s="1">
        <f>Table1[[#This Row],[total score]]/3</f>
        <v>67</v>
      </c>
      <c r="L699" s="6" t="str">
        <f>VLOOKUP(Table1[[#This Row],[average score]],$AE$9:$AF$13,2,TRUE)</f>
        <v>D</v>
      </c>
      <c r="M6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699" s="2" t="str">
        <f>IF(OR(Table1[[#This Row],[math score]]&lt;$AC$5,Table1[[#This Row],[reading score]]&lt;$AC$5,Table1[[#This Row],[writing score]]&lt;$AC$5), "Failed atleast one", "Passed all")</f>
        <v>Failed atleast one</v>
      </c>
      <c r="O699" t="str">
        <f>VLOOKUP(Table1[[#This Row],[average score]],$AE$9:$AG$13,3,TRUE)</f>
        <v>Needs improvements</v>
      </c>
    </row>
    <row r="700" spans="1:15" x14ac:dyDescent="0.2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t="s">
        <v>734</v>
      </c>
      <c r="J700">
        <f>SUM(Table1[[#This Row],[math score]:[writing score]])</f>
        <v>214</v>
      </c>
      <c r="K700" s="1">
        <f>Table1[[#This Row],[total score]]/3</f>
        <v>71.333333333333329</v>
      </c>
      <c r="L700" s="6" t="str">
        <f>VLOOKUP(Table1[[#This Row],[average score]],$AE$9:$AF$13,2,TRUE)</f>
        <v>C</v>
      </c>
      <c r="M7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00" s="2" t="str">
        <f>IF(OR(Table1[[#This Row],[math score]]&lt;$AC$5,Table1[[#This Row],[reading score]]&lt;$AC$5,Table1[[#This Row],[writing score]]&lt;$AC$5), "Failed atleast one", "Passed all")</f>
        <v>Failed atleast one</v>
      </c>
      <c r="O700" t="str">
        <f>VLOOKUP(Table1[[#This Row],[average score]],$AE$9:$AG$13,3,TRUE)</f>
        <v>Satisfactory</v>
      </c>
    </row>
    <row r="701" spans="1:15" x14ac:dyDescent="0.2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t="s">
        <v>735</v>
      </c>
      <c r="J701">
        <f>SUM(Table1[[#This Row],[math score]:[writing score]])</f>
        <v>191</v>
      </c>
      <c r="K701" s="1">
        <f>Table1[[#This Row],[total score]]/3</f>
        <v>63.666666666666664</v>
      </c>
      <c r="L701" s="6" t="str">
        <f>VLOOKUP(Table1[[#This Row],[average score]],$AE$9:$AF$13,2,TRUE)</f>
        <v>D</v>
      </c>
      <c r="M7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01" s="2" t="str">
        <f>IF(OR(Table1[[#This Row],[math score]]&lt;$AC$5,Table1[[#This Row],[reading score]]&lt;$AC$5,Table1[[#This Row],[writing score]]&lt;$AC$5), "Failed atleast one", "Passed all")</f>
        <v>Failed atleast one</v>
      </c>
      <c r="O701" t="str">
        <f>VLOOKUP(Table1[[#This Row],[average score]],$AE$9:$AG$13,3,TRUE)</f>
        <v>Needs improvements</v>
      </c>
    </row>
    <row r="702" spans="1:15" x14ac:dyDescent="0.2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t="s">
        <v>736</v>
      </c>
      <c r="J702">
        <f>SUM(Table1[[#This Row],[math score]:[writing score]])</f>
        <v>242</v>
      </c>
      <c r="K702" s="1">
        <f>Table1[[#This Row],[total score]]/3</f>
        <v>80.666666666666671</v>
      </c>
      <c r="L702" s="6" t="str">
        <f>VLOOKUP(Table1[[#This Row],[average score]],$AE$9:$AF$13,2,TRUE)</f>
        <v>B</v>
      </c>
      <c r="M7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02" s="2" t="str">
        <f>IF(OR(Table1[[#This Row],[math score]]&lt;$AC$5,Table1[[#This Row],[reading score]]&lt;$AC$5,Table1[[#This Row],[writing score]]&lt;$AC$5), "Failed atleast one", "Passed all")</f>
        <v>Passed all</v>
      </c>
      <c r="O702" t="str">
        <f>VLOOKUP(Table1[[#This Row],[average score]],$AE$9:$AG$13,3,TRUE)</f>
        <v xml:space="preserve">Good </v>
      </c>
    </row>
    <row r="703" spans="1:15" x14ac:dyDescent="0.2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t="s">
        <v>737</v>
      </c>
      <c r="J703">
        <f>SUM(Table1[[#This Row],[math score]:[writing score]])</f>
        <v>196</v>
      </c>
      <c r="K703" s="1">
        <f>Table1[[#This Row],[total score]]/3</f>
        <v>65.333333333333329</v>
      </c>
      <c r="L703" s="6" t="str">
        <f>VLOOKUP(Table1[[#This Row],[average score]],$AE$9:$AF$13,2,TRUE)</f>
        <v>D</v>
      </c>
      <c r="M7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03" s="2" t="str">
        <f>IF(OR(Table1[[#This Row],[math score]]&lt;$AC$5,Table1[[#This Row],[reading score]]&lt;$AC$5,Table1[[#This Row],[writing score]]&lt;$AC$5), "Failed atleast one", "Passed all")</f>
        <v>Failed atleast one</v>
      </c>
      <c r="O703" t="str">
        <f>VLOOKUP(Table1[[#This Row],[average score]],$AE$9:$AG$13,3,TRUE)</f>
        <v>Needs improvements</v>
      </c>
    </row>
    <row r="704" spans="1:15" x14ac:dyDescent="0.2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t="s">
        <v>738</v>
      </c>
      <c r="J704">
        <f>SUM(Table1[[#This Row],[math score]:[writing score]])</f>
        <v>258</v>
      </c>
      <c r="K704" s="1">
        <f>Table1[[#This Row],[total score]]/3</f>
        <v>86</v>
      </c>
      <c r="L704" s="6" t="str">
        <f>VLOOKUP(Table1[[#This Row],[average score]],$AE$9:$AF$13,2,TRUE)</f>
        <v>B</v>
      </c>
      <c r="M7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04" s="2" t="str">
        <f>IF(OR(Table1[[#This Row],[math score]]&lt;$AC$5,Table1[[#This Row],[reading score]]&lt;$AC$5,Table1[[#This Row],[writing score]]&lt;$AC$5), "Failed atleast one", "Passed all")</f>
        <v>Passed all</v>
      </c>
      <c r="O704" t="str">
        <f>VLOOKUP(Table1[[#This Row],[average score]],$AE$9:$AG$13,3,TRUE)</f>
        <v xml:space="preserve">Good </v>
      </c>
    </row>
    <row r="705" spans="1:15" x14ac:dyDescent="0.2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t="s">
        <v>739</v>
      </c>
      <c r="J705">
        <f>SUM(Table1[[#This Row],[math score]:[writing score]])</f>
        <v>194</v>
      </c>
      <c r="K705" s="1">
        <f>Table1[[#This Row],[total score]]/3</f>
        <v>64.666666666666671</v>
      </c>
      <c r="L705" s="6" t="str">
        <f>VLOOKUP(Table1[[#This Row],[average score]],$AE$9:$AF$13,2,TRUE)</f>
        <v>D</v>
      </c>
      <c r="M7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05" s="2" t="str">
        <f>IF(OR(Table1[[#This Row],[math score]]&lt;$AC$5,Table1[[#This Row],[reading score]]&lt;$AC$5,Table1[[#This Row],[writing score]]&lt;$AC$5), "Failed atleast one", "Passed all")</f>
        <v>Passed all</v>
      </c>
      <c r="O705" t="str">
        <f>VLOOKUP(Table1[[#This Row],[average score]],$AE$9:$AG$13,3,TRUE)</f>
        <v>Needs improvements</v>
      </c>
    </row>
    <row r="706" spans="1:15" x14ac:dyDescent="0.2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t="s">
        <v>740</v>
      </c>
      <c r="J706">
        <f>SUM(Table1[[#This Row],[math score]:[writing score]])</f>
        <v>186</v>
      </c>
      <c r="K706" s="1">
        <f>Table1[[#This Row],[total score]]/3</f>
        <v>62</v>
      </c>
      <c r="L706" s="6" t="str">
        <f>VLOOKUP(Table1[[#This Row],[average score]],$AE$9:$AF$13,2,TRUE)</f>
        <v>D</v>
      </c>
      <c r="M7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06" s="2" t="str">
        <f>IF(OR(Table1[[#This Row],[math score]]&lt;$AC$5,Table1[[#This Row],[reading score]]&lt;$AC$5,Table1[[#This Row],[writing score]]&lt;$AC$5), "Failed atleast one", "Passed all")</f>
        <v>Failed atleast one</v>
      </c>
      <c r="O706" t="str">
        <f>VLOOKUP(Table1[[#This Row],[average score]],$AE$9:$AG$13,3,TRUE)</f>
        <v>Needs improvements</v>
      </c>
    </row>
    <row r="707" spans="1:15" x14ac:dyDescent="0.2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t="s">
        <v>741</v>
      </c>
      <c r="J707">
        <f>SUM(Table1[[#This Row],[math score]:[writing score]])</f>
        <v>199</v>
      </c>
      <c r="K707" s="1">
        <f>Table1[[#This Row],[total score]]/3</f>
        <v>66.333333333333329</v>
      </c>
      <c r="L707" s="6" t="str">
        <f>VLOOKUP(Table1[[#This Row],[average score]],$AE$9:$AF$13,2,TRUE)</f>
        <v>D</v>
      </c>
      <c r="M7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07" s="2" t="str">
        <f>IF(OR(Table1[[#This Row],[math score]]&lt;$AC$5,Table1[[#This Row],[reading score]]&lt;$AC$5,Table1[[#This Row],[writing score]]&lt;$AC$5), "Failed atleast one", "Passed all")</f>
        <v>Passed all</v>
      </c>
      <c r="O707" t="str">
        <f>VLOOKUP(Table1[[#This Row],[average score]],$AE$9:$AG$13,3,TRUE)</f>
        <v>Needs improvements</v>
      </c>
    </row>
    <row r="708" spans="1:15" x14ac:dyDescent="0.2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t="s">
        <v>742</v>
      </c>
      <c r="J708">
        <f>SUM(Table1[[#This Row],[math score]:[writing score]])</f>
        <v>116</v>
      </c>
      <c r="K708" s="1">
        <f>Table1[[#This Row],[total score]]/3</f>
        <v>38.666666666666664</v>
      </c>
      <c r="L708" s="6" t="str">
        <f>VLOOKUP(Table1[[#This Row],[average score]],$AE$9:$AF$13,2,TRUE)</f>
        <v>F</v>
      </c>
      <c r="M7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08" s="2" t="str">
        <f>IF(OR(Table1[[#This Row],[math score]]&lt;$AC$5,Table1[[#This Row],[reading score]]&lt;$AC$5,Table1[[#This Row],[writing score]]&lt;$AC$5), "Failed atleast one", "Passed all")</f>
        <v>Failed atleast one</v>
      </c>
      <c r="O708" t="str">
        <f>VLOOKUP(Table1[[#This Row],[average score]],$AE$9:$AG$13,3,TRUE)</f>
        <v>Poor</v>
      </c>
    </row>
    <row r="709" spans="1:15" x14ac:dyDescent="0.2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t="s">
        <v>743</v>
      </c>
      <c r="J709">
        <f>SUM(Table1[[#This Row],[math score]:[writing score]])</f>
        <v>177</v>
      </c>
      <c r="K709" s="1">
        <f>Table1[[#This Row],[total score]]/3</f>
        <v>59</v>
      </c>
      <c r="L709" s="6" t="str">
        <f>VLOOKUP(Table1[[#This Row],[average score]],$AE$9:$AF$13,2,TRUE)</f>
        <v>F</v>
      </c>
      <c r="M7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09" s="2" t="str">
        <f>IF(OR(Table1[[#This Row],[math score]]&lt;$AC$5,Table1[[#This Row],[reading score]]&lt;$AC$5,Table1[[#This Row],[writing score]]&lt;$AC$5), "Failed atleast one", "Passed all")</f>
        <v>Failed atleast one</v>
      </c>
      <c r="O709" t="str">
        <f>VLOOKUP(Table1[[#This Row],[average score]],$AE$9:$AG$13,3,TRUE)</f>
        <v>Poor</v>
      </c>
    </row>
    <row r="710" spans="1:15" x14ac:dyDescent="0.2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t="s">
        <v>744</v>
      </c>
      <c r="J710">
        <f>SUM(Table1[[#This Row],[math score]:[writing score]])</f>
        <v>255</v>
      </c>
      <c r="K710" s="1">
        <f>Table1[[#This Row],[total score]]/3</f>
        <v>85</v>
      </c>
      <c r="L710" s="6" t="str">
        <f>VLOOKUP(Table1[[#This Row],[average score]],$AE$9:$AF$13,2,TRUE)</f>
        <v>B</v>
      </c>
      <c r="M7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10" s="2" t="str">
        <f>IF(OR(Table1[[#This Row],[math score]]&lt;$AC$5,Table1[[#This Row],[reading score]]&lt;$AC$5,Table1[[#This Row],[writing score]]&lt;$AC$5), "Failed atleast one", "Passed all")</f>
        <v>Passed all</v>
      </c>
      <c r="O710" t="str">
        <f>VLOOKUP(Table1[[#This Row],[average score]],$AE$9:$AG$13,3,TRUE)</f>
        <v xml:space="preserve">Good </v>
      </c>
    </row>
    <row r="711" spans="1:15" x14ac:dyDescent="0.2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t="s">
        <v>745</v>
      </c>
      <c r="J711">
        <f>SUM(Table1[[#This Row],[math score]:[writing score]])</f>
        <v>161</v>
      </c>
      <c r="K711" s="1">
        <f>Table1[[#This Row],[total score]]/3</f>
        <v>53.666666666666664</v>
      </c>
      <c r="L711" s="6" t="str">
        <f>VLOOKUP(Table1[[#This Row],[average score]],$AE$9:$AF$13,2,TRUE)</f>
        <v>F</v>
      </c>
      <c r="M7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11" s="2" t="str">
        <f>IF(OR(Table1[[#This Row],[math score]]&lt;$AC$5,Table1[[#This Row],[reading score]]&lt;$AC$5,Table1[[#This Row],[writing score]]&lt;$AC$5), "Failed atleast one", "Passed all")</f>
        <v>Failed atleast one</v>
      </c>
      <c r="O711" t="str">
        <f>VLOOKUP(Table1[[#This Row],[average score]],$AE$9:$AG$13,3,TRUE)</f>
        <v>Poor</v>
      </c>
    </row>
    <row r="712" spans="1:15" x14ac:dyDescent="0.2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t="s">
        <v>746</v>
      </c>
      <c r="J712">
        <f>SUM(Table1[[#This Row],[math score]:[writing score]])</f>
        <v>267</v>
      </c>
      <c r="K712" s="1">
        <f>Table1[[#This Row],[total score]]/3</f>
        <v>89</v>
      </c>
      <c r="L712" s="6" t="str">
        <f>VLOOKUP(Table1[[#This Row],[average score]],$AE$9:$AF$13,2,TRUE)</f>
        <v>B</v>
      </c>
      <c r="M7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12" s="2" t="str">
        <f>IF(OR(Table1[[#This Row],[math score]]&lt;$AC$5,Table1[[#This Row],[reading score]]&lt;$AC$5,Table1[[#This Row],[writing score]]&lt;$AC$5), "Failed atleast one", "Passed all")</f>
        <v>Passed all</v>
      </c>
      <c r="O712" t="str">
        <f>VLOOKUP(Table1[[#This Row],[average score]],$AE$9:$AG$13,3,TRUE)</f>
        <v xml:space="preserve">Good </v>
      </c>
    </row>
    <row r="713" spans="1:15" x14ac:dyDescent="0.2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t="s">
        <v>747</v>
      </c>
      <c r="J713">
        <f>SUM(Table1[[#This Row],[math score]:[writing score]])</f>
        <v>250</v>
      </c>
      <c r="K713" s="1">
        <f>Table1[[#This Row],[total score]]/3</f>
        <v>83.333333333333329</v>
      </c>
      <c r="L713" s="6" t="str">
        <f>VLOOKUP(Table1[[#This Row],[average score]],$AE$9:$AF$13,2,TRUE)</f>
        <v>B</v>
      </c>
      <c r="M7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13" s="2" t="str">
        <f>IF(OR(Table1[[#This Row],[math score]]&lt;$AC$5,Table1[[#This Row],[reading score]]&lt;$AC$5,Table1[[#This Row],[writing score]]&lt;$AC$5), "Failed atleast one", "Passed all")</f>
        <v>Passed all</v>
      </c>
      <c r="O713" t="str">
        <f>VLOOKUP(Table1[[#This Row],[average score]],$AE$9:$AG$13,3,TRUE)</f>
        <v xml:space="preserve">Good </v>
      </c>
    </row>
    <row r="714" spans="1:15" x14ac:dyDescent="0.2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t="s">
        <v>748</v>
      </c>
      <c r="J714">
        <f>SUM(Table1[[#This Row],[math score]:[writing score]])</f>
        <v>297</v>
      </c>
      <c r="K714" s="1">
        <f>Table1[[#This Row],[total score]]/3</f>
        <v>99</v>
      </c>
      <c r="L714" s="6" t="str">
        <f>VLOOKUP(Table1[[#This Row],[average score]],$AE$9:$AF$13,2,TRUE)</f>
        <v>A</v>
      </c>
      <c r="M7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714" s="2" t="str">
        <f>IF(OR(Table1[[#This Row],[math score]]&lt;$AC$5,Table1[[#This Row],[reading score]]&lt;$AC$5,Table1[[#This Row],[writing score]]&lt;$AC$5), "Failed atleast one", "Passed all")</f>
        <v>Passed all</v>
      </c>
      <c r="O714" t="str">
        <f>VLOOKUP(Table1[[#This Row],[average score]],$AE$9:$AG$13,3,TRUE)</f>
        <v>Outstanding</v>
      </c>
    </row>
    <row r="715" spans="1:15" x14ac:dyDescent="0.2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t="s">
        <v>749</v>
      </c>
      <c r="J715">
        <f>SUM(Table1[[#This Row],[math score]:[writing score]])</f>
        <v>246</v>
      </c>
      <c r="K715" s="1">
        <f>Table1[[#This Row],[total score]]/3</f>
        <v>82</v>
      </c>
      <c r="L715" s="6" t="str">
        <f>VLOOKUP(Table1[[#This Row],[average score]],$AE$9:$AF$13,2,TRUE)</f>
        <v>B</v>
      </c>
      <c r="M7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15" s="2" t="str">
        <f>IF(OR(Table1[[#This Row],[math score]]&lt;$AC$5,Table1[[#This Row],[reading score]]&lt;$AC$5,Table1[[#This Row],[writing score]]&lt;$AC$5), "Failed atleast one", "Passed all")</f>
        <v>Passed all</v>
      </c>
      <c r="O715" t="str">
        <f>VLOOKUP(Table1[[#This Row],[average score]],$AE$9:$AG$13,3,TRUE)</f>
        <v xml:space="preserve">Good </v>
      </c>
    </row>
    <row r="716" spans="1:15" x14ac:dyDescent="0.2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t="s">
        <v>750</v>
      </c>
      <c r="J716">
        <f>SUM(Table1[[#This Row],[math score]:[writing score]])</f>
        <v>204</v>
      </c>
      <c r="K716" s="1">
        <f>Table1[[#This Row],[total score]]/3</f>
        <v>68</v>
      </c>
      <c r="L716" s="6" t="str">
        <f>VLOOKUP(Table1[[#This Row],[average score]],$AE$9:$AF$13,2,TRUE)</f>
        <v>D</v>
      </c>
      <c r="M7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16" s="2" t="str">
        <f>IF(OR(Table1[[#This Row],[math score]]&lt;$AC$5,Table1[[#This Row],[reading score]]&lt;$AC$5,Table1[[#This Row],[writing score]]&lt;$AC$5), "Failed atleast one", "Passed all")</f>
        <v>Passed all</v>
      </c>
      <c r="O716" t="str">
        <f>VLOOKUP(Table1[[#This Row],[average score]],$AE$9:$AG$13,3,TRUE)</f>
        <v>Needs improvements</v>
      </c>
    </row>
    <row r="717" spans="1:15" x14ac:dyDescent="0.2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t="s">
        <v>751</v>
      </c>
      <c r="J717">
        <f>SUM(Table1[[#This Row],[math score]:[writing score]])</f>
        <v>257</v>
      </c>
      <c r="K717" s="1">
        <f>Table1[[#This Row],[total score]]/3</f>
        <v>85.666666666666671</v>
      </c>
      <c r="L717" s="6" t="str">
        <f>VLOOKUP(Table1[[#This Row],[average score]],$AE$9:$AF$13,2,TRUE)</f>
        <v>B</v>
      </c>
      <c r="M7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17" s="2" t="str">
        <f>IF(OR(Table1[[#This Row],[math score]]&lt;$AC$5,Table1[[#This Row],[reading score]]&lt;$AC$5,Table1[[#This Row],[writing score]]&lt;$AC$5), "Failed atleast one", "Passed all")</f>
        <v>Passed all</v>
      </c>
      <c r="O717" t="str">
        <f>VLOOKUP(Table1[[#This Row],[average score]],$AE$9:$AG$13,3,TRUE)</f>
        <v xml:space="preserve">Good </v>
      </c>
    </row>
    <row r="718" spans="1:15" x14ac:dyDescent="0.2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t="s">
        <v>752</v>
      </c>
      <c r="J718">
        <f>SUM(Table1[[#This Row],[math score]:[writing score]])</f>
        <v>223</v>
      </c>
      <c r="K718" s="1">
        <f>Table1[[#This Row],[total score]]/3</f>
        <v>74.333333333333329</v>
      </c>
      <c r="L718" s="6" t="str">
        <f>VLOOKUP(Table1[[#This Row],[average score]],$AE$9:$AF$13,2,TRUE)</f>
        <v>C</v>
      </c>
      <c r="M7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18" s="2" t="str">
        <f>IF(OR(Table1[[#This Row],[math score]]&lt;$AC$5,Table1[[#This Row],[reading score]]&lt;$AC$5,Table1[[#This Row],[writing score]]&lt;$AC$5), "Failed atleast one", "Passed all")</f>
        <v>Passed all</v>
      </c>
      <c r="O718" t="str">
        <f>VLOOKUP(Table1[[#This Row],[average score]],$AE$9:$AG$13,3,TRUE)</f>
        <v>Satisfactory</v>
      </c>
    </row>
    <row r="719" spans="1:15" x14ac:dyDescent="0.2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t="s">
        <v>753</v>
      </c>
      <c r="J719">
        <f>SUM(Table1[[#This Row],[math score]:[writing score]])</f>
        <v>291</v>
      </c>
      <c r="K719" s="1">
        <f>Table1[[#This Row],[total score]]/3</f>
        <v>97</v>
      </c>
      <c r="L719" s="6" t="str">
        <f>VLOOKUP(Table1[[#This Row],[average score]],$AE$9:$AF$13,2,TRUE)</f>
        <v>A</v>
      </c>
      <c r="M7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719" s="2" t="str">
        <f>IF(OR(Table1[[#This Row],[math score]]&lt;$AC$5,Table1[[#This Row],[reading score]]&lt;$AC$5,Table1[[#This Row],[writing score]]&lt;$AC$5), "Failed atleast one", "Passed all")</f>
        <v>Passed all</v>
      </c>
      <c r="O719" t="str">
        <f>VLOOKUP(Table1[[#This Row],[average score]],$AE$9:$AG$13,3,TRUE)</f>
        <v>Outstanding</v>
      </c>
    </row>
    <row r="720" spans="1:15" x14ac:dyDescent="0.2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t="s">
        <v>754</v>
      </c>
      <c r="J720">
        <f>SUM(Table1[[#This Row],[math score]:[writing score]])</f>
        <v>226</v>
      </c>
      <c r="K720" s="1">
        <f>Table1[[#This Row],[total score]]/3</f>
        <v>75.333333333333329</v>
      </c>
      <c r="L720" s="6" t="str">
        <f>VLOOKUP(Table1[[#This Row],[average score]],$AE$9:$AF$13,2,TRUE)</f>
        <v>C</v>
      </c>
      <c r="M7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20" s="2" t="str">
        <f>IF(OR(Table1[[#This Row],[math score]]&lt;$AC$5,Table1[[#This Row],[reading score]]&lt;$AC$5,Table1[[#This Row],[writing score]]&lt;$AC$5), "Failed atleast one", "Passed all")</f>
        <v>Passed all</v>
      </c>
      <c r="O720" t="str">
        <f>VLOOKUP(Table1[[#This Row],[average score]],$AE$9:$AG$13,3,TRUE)</f>
        <v>Satisfactory</v>
      </c>
    </row>
    <row r="721" spans="1:15" x14ac:dyDescent="0.2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t="s">
        <v>755</v>
      </c>
      <c r="J721">
        <f>SUM(Table1[[#This Row],[math score]:[writing score]])</f>
        <v>244</v>
      </c>
      <c r="K721" s="1">
        <f>Table1[[#This Row],[total score]]/3</f>
        <v>81.333333333333329</v>
      </c>
      <c r="L721" s="6" t="str">
        <f>VLOOKUP(Table1[[#This Row],[average score]],$AE$9:$AF$13,2,TRUE)</f>
        <v>B</v>
      </c>
      <c r="M7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21" s="2" t="str">
        <f>IF(OR(Table1[[#This Row],[math score]]&lt;$AC$5,Table1[[#This Row],[reading score]]&lt;$AC$5,Table1[[#This Row],[writing score]]&lt;$AC$5), "Failed atleast one", "Passed all")</f>
        <v>Passed all</v>
      </c>
      <c r="O721" t="str">
        <f>VLOOKUP(Table1[[#This Row],[average score]],$AE$9:$AG$13,3,TRUE)</f>
        <v xml:space="preserve">Good </v>
      </c>
    </row>
    <row r="722" spans="1:15" x14ac:dyDescent="0.2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t="s">
        <v>756</v>
      </c>
      <c r="J722">
        <f>SUM(Table1[[#This Row],[math score]:[writing score]])</f>
        <v>204</v>
      </c>
      <c r="K722" s="1">
        <f>Table1[[#This Row],[total score]]/3</f>
        <v>68</v>
      </c>
      <c r="L722" s="6" t="str">
        <f>VLOOKUP(Table1[[#This Row],[average score]],$AE$9:$AF$13,2,TRUE)</f>
        <v>D</v>
      </c>
      <c r="M7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22" s="2" t="str">
        <f>IF(OR(Table1[[#This Row],[math score]]&lt;$AC$5,Table1[[#This Row],[reading score]]&lt;$AC$5,Table1[[#This Row],[writing score]]&lt;$AC$5), "Failed atleast one", "Passed all")</f>
        <v>Passed all</v>
      </c>
      <c r="O722" t="str">
        <f>VLOOKUP(Table1[[#This Row],[average score]],$AE$9:$AG$13,3,TRUE)</f>
        <v>Needs improvements</v>
      </c>
    </row>
    <row r="723" spans="1:15" x14ac:dyDescent="0.2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t="s">
        <v>757</v>
      </c>
      <c r="J723">
        <f>SUM(Table1[[#This Row],[math score]:[writing score]])</f>
        <v>173</v>
      </c>
      <c r="K723" s="1">
        <f>Table1[[#This Row],[total score]]/3</f>
        <v>57.666666666666664</v>
      </c>
      <c r="L723" s="6" t="str">
        <f>VLOOKUP(Table1[[#This Row],[average score]],$AE$9:$AF$13,2,TRUE)</f>
        <v>F</v>
      </c>
      <c r="M7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23" s="2" t="str">
        <f>IF(OR(Table1[[#This Row],[math score]]&lt;$AC$5,Table1[[#This Row],[reading score]]&lt;$AC$5,Table1[[#This Row],[writing score]]&lt;$AC$5), "Failed atleast one", "Passed all")</f>
        <v>Failed atleast one</v>
      </c>
      <c r="O723" t="str">
        <f>VLOOKUP(Table1[[#This Row],[average score]],$AE$9:$AG$13,3,TRUE)</f>
        <v>Poor</v>
      </c>
    </row>
    <row r="724" spans="1:15" x14ac:dyDescent="0.2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t="s">
        <v>758</v>
      </c>
      <c r="J724">
        <f>SUM(Table1[[#This Row],[math score]:[writing score]])</f>
        <v>252</v>
      </c>
      <c r="K724" s="1">
        <f>Table1[[#This Row],[total score]]/3</f>
        <v>84</v>
      </c>
      <c r="L724" s="6" t="str">
        <f>VLOOKUP(Table1[[#This Row],[average score]],$AE$9:$AF$13,2,TRUE)</f>
        <v>B</v>
      </c>
      <c r="M7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24" s="2" t="str">
        <f>IF(OR(Table1[[#This Row],[math score]]&lt;$AC$5,Table1[[#This Row],[reading score]]&lt;$AC$5,Table1[[#This Row],[writing score]]&lt;$AC$5), "Failed atleast one", "Passed all")</f>
        <v>Passed all</v>
      </c>
      <c r="O724" t="str">
        <f>VLOOKUP(Table1[[#This Row],[average score]],$AE$9:$AG$13,3,TRUE)</f>
        <v xml:space="preserve">Good </v>
      </c>
    </row>
    <row r="725" spans="1:15" x14ac:dyDescent="0.2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t="s">
        <v>759</v>
      </c>
      <c r="J725">
        <f>SUM(Table1[[#This Row],[math score]:[writing score]])</f>
        <v>140</v>
      </c>
      <c r="K725" s="1">
        <f>Table1[[#This Row],[total score]]/3</f>
        <v>46.666666666666664</v>
      </c>
      <c r="L725" s="6" t="str">
        <f>VLOOKUP(Table1[[#This Row],[average score]],$AE$9:$AF$13,2,TRUE)</f>
        <v>F</v>
      </c>
      <c r="M7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25" s="2" t="str">
        <f>IF(OR(Table1[[#This Row],[math score]]&lt;$AC$5,Table1[[#This Row],[reading score]]&lt;$AC$5,Table1[[#This Row],[writing score]]&lt;$AC$5), "Failed atleast one", "Passed all")</f>
        <v>Failed atleast one</v>
      </c>
      <c r="O725" t="str">
        <f>VLOOKUP(Table1[[#This Row],[average score]],$AE$9:$AG$13,3,TRUE)</f>
        <v>Poor</v>
      </c>
    </row>
    <row r="726" spans="1:15" x14ac:dyDescent="0.2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t="s">
        <v>760</v>
      </c>
      <c r="J726">
        <f>SUM(Table1[[#This Row],[math score]:[writing score]])</f>
        <v>131</v>
      </c>
      <c r="K726" s="1">
        <f>Table1[[#This Row],[total score]]/3</f>
        <v>43.666666666666664</v>
      </c>
      <c r="L726" s="6" t="str">
        <f>VLOOKUP(Table1[[#This Row],[average score]],$AE$9:$AF$13,2,TRUE)</f>
        <v>F</v>
      </c>
      <c r="M7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26" s="2" t="str">
        <f>IF(OR(Table1[[#This Row],[math score]]&lt;$AC$5,Table1[[#This Row],[reading score]]&lt;$AC$5,Table1[[#This Row],[writing score]]&lt;$AC$5), "Failed atleast one", "Passed all")</f>
        <v>Failed atleast one</v>
      </c>
      <c r="O726" t="str">
        <f>VLOOKUP(Table1[[#This Row],[average score]],$AE$9:$AG$13,3,TRUE)</f>
        <v>Poor</v>
      </c>
    </row>
    <row r="727" spans="1:15" x14ac:dyDescent="0.2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t="s">
        <v>761</v>
      </c>
      <c r="J727">
        <f>SUM(Table1[[#This Row],[math score]:[writing score]])</f>
        <v>226</v>
      </c>
      <c r="K727" s="1">
        <f>Table1[[#This Row],[total score]]/3</f>
        <v>75.333333333333329</v>
      </c>
      <c r="L727" s="6" t="str">
        <f>VLOOKUP(Table1[[#This Row],[average score]],$AE$9:$AF$13,2,TRUE)</f>
        <v>C</v>
      </c>
      <c r="M7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27" s="2" t="str">
        <f>IF(OR(Table1[[#This Row],[math score]]&lt;$AC$5,Table1[[#This Row],[reading score]]&lt;$AC$5,Table1[[#This Row],[writing score]]&lt;$AC$5), "Failed atleast one", "Passed all")</f>
        <v>Passed all</v>
      </c>
      <c r="O727" t="str">
        <f>VLOOKUP(Table1[[#This Row],[average score]],$AE$9:$AG$13,3,TRUE)</f>
        <v>Satisfactory</v>
      </c>
    </row>
    <row r="728" spans="1:15" x14ac:dyDescent="0.2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t="s">
        <v>762</v>
      </c>
      <c r="J728">
        <f>SUM(Table1[[#This Row],[math score]:[writing score]])</f>
        <v>217</v>
      </c>
      <c r="K728" s="1">
        <f>Table1[[#This Row],[total score]]/3</f>
        <v>72.333333333333329</v>
      </c>
      <c r="L728" s="6" t="str">
        <f>VLOOKUP(Table1[[#This Row],[average score]],$AE$9:$AF$13,2,TRUE)</f>
        <v>C</v>
      </c>
      <c r="M7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28" s="2" t="str">
        <f>IF(OR(Table1[[#This Row],[math score]]&lt;$AC$5,Table1[[#This Row],[reading score]]&lt;$AC$5,Table1[[#This Row],[writing score]]&lt;$AC$5), "Failed atleast one", "Passed all")</f>
        <v>Passed all</v>
      </c>
      <c r="O728" t="str">
        <f>VLOOKUP(Table1[[#This Row],[average score]],$AE$9:$AG$13,3,TRUE)</f>
        <v>Satisfactory</v>
      </c>
    </row>
    <row r="729" spans="1:15" x14ac:dyDescent="0.2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t="s">
        <v>763</v>
      </c>
      <c r="J729">
        <f>SUM(Table1[[#This Row],[math score]:[writing score]])</f>
        <v>176</v>
      </c>
      <c r="K729" s="1">
        <f>Table1[[#This Row],[total score]]/3</f>
        <v>58.666666666666664</v>
      </c>
      <c r="L729" s="6" t="str">
        <f>VLOOKUP(Table1[[#This Row],[average score]],$AE$9:$AF$13,2,TRUE)</f>
        <v>F</v>
      </c>
      <c r="M7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29" s="2" t="str">
        <f>IF(OR(Table1[[#This Row],[math score]]&lt;$AC$5,Table1[[#This Row],[reading score]]&lt;$AC$5,Table1[[#This Row],[writing score]]&lt;$AC$5), "Failed atleast one", "Passed all")</f>
        <v>Failed atleast one</v>
      </c>
      <c r="O729" t="str">
        <f>VLOOKUP(Table1[[#This Row],[average score]],$AE$9:$AG$13,3,TRUE)</f>
        <v>Poor</v>
      </c>
    </row>
    <row r="730" spans="1:15" x14ac:dyDescent="0.2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t="s">
        <v>764</v>
      </c>
      <c r="J730">
        <f>SUM(Table1[[#This Row],[math score]:[writing score]])</f>
        <v>249</v>
      </c>
      <c r="K730" s="1">
        <f>Table1[[#This Row],[total score]]/3</f>
        <v>83</v>
      </c>
      <c r="L730" s="6" t="str">
        <f>VLOOKUP(Table1[[#This Row],[average score]],$AE$9:$AF$13,2,TRUE)</f>
        <v>B</v>
      </c>
      <c r="M7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30" s="2" t="str">
        <f>IF(OR(Table1[[#This Row],[math score]]&lt;$AC$5,Table1[[#This Row],[reading score]]&lt;$AC$5,Table1[[#This Row],[writing score]]&lt;$AC$5), "Failed atleast one", "Passed all")</f>
        <v>Passed all</v>
      </c>
      <c r="O730" t="str">
        <f>VLOOKUP(Table1[[#This Row],[average score]],$AE$9:$AG$13,3,TRUE)</f>
        <v xml:space="preserve">Good </v>
      </c>
    </row>
    <row r="731" spans="1:15" x14ac:dyDescent="0.2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t="s">
        <v>765</v>
      </c>
      <c r="J731">
        <f>SUM(Table1[[#This Row],[math score]:[writing score]])</f>
        <v>129</v>
      </c>
      <c r="K731" s="1">
        <f>Table1[[#This Row],[total score]]/3</f>
        <v>43</v>
      </c>
      <c r="L731" s="6" t="str">
        <f>VLOOKUP(Table1[[#This Row],[average score]],$AE$9:$AF$13,2,TRUE)</f>
        <v>F</v>
      </c>
      <c r="M7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31" s="2" t="str">
        <f>IF(OR(Table1[[#This Row],[math score]]&lt;$AC$5,Table1[[#This Row],[reading score]]&lt;$AC$5,Table1[[#This Row],[writing score]]&lt;$AC$5), "Failed atleast one", "Passed all")</f>
        <v>Failed atleast one</v>
      </c>
      <c r="O731" t="str">
        <f>VLOOKUP(Table1[[#This Row],[average score]],$AE$9:$AG$13,3,TRUE)</f>
        <v>Poor</v>
      </c>
    </row>
    <row r="732" spans="1:15" x14ac:dyDescent="0.2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t="s">
        <v>766</v>
      </c>
      <c r="J732">
        <f>SUM(Table1[[#This Row],[math score]:[writing score]])</f>
        <v>225</v>
      </c>
      <c r="K732" s="1">
        <f>Table1[[#This Row],[total score]]/3</f>
        <v>75</v>
      </c>
      <c r="L732" s="6" t="str">
        <f>VLOOKUP(Table1[[#This Row],[average score]],$AE$9:$AF$13,2,TRUE)</f>
        <v>C</v>
      </c>
      <c r="M7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32" s="2" t="str">
        <f>IF(OR(Table1[[#This Row],[math score]]&lt;$AC$5,Table1[[#This Row],[reading score]]&lt;$AC$5,Table1[[#This Row],[writing score]]&lt;$AC$5), "Failed atleast one", "Passed all")</f>
        <v>Passed all</v>
      </c>
      <c r="O732" t="str">
        <f>VLOOKUP(Table1[[#This Row],[average score]],$AE$9:$AG$13,3,TRUE)</f>
        <v>Satisfactory</v>
      </c>
    </row>
    <row r="733" spans="1:15" x14ac:dyDescent="0.2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t="s">
        <v>767</v>
      </c>
      <c r="J733">
        <f>SUM(Table1[[#This Row],[math score]:[writing score]])</f>
        <v>144</v>
      </c>
      <c r="K733" s="1">
        <f>Table1[[#This Row],[total score]]/3</f>
        <v>48</v>
      </c>
      <c r="L733" s="6" t="str">
        <f>VLOOKUP(Table1[[#This Row],[average score]],$AE$9:$AF$13,2,TRUE)</f>
        <v>F</v>
      </c>
      <c r="M7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33" s="2" t="str">
        <f>IF(OR(Table1[[#This Row],[math score]]&lt;$AC$5,Table1[[#This Row],[reading score]]&lt;$AC$5,Table1[[#This Row],[writing score]]&lt;$AC$5), "Failed atleast one", "Passed all")</f>
        <v>Failed atleast one</v>
      </c>
      <c r="O733" t="str">
        <f>VLOOKUP(Table1[[#This Row],[average score]],$AE$9:$AG$13,3,TRUE)</f>
        <v>Poor</v>
      </c>
    </row>
    <row r="734" spans="1:15" x14ac:dyDescent="0.2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t="s">
        <v>768</v>
      </c>
      <c r="J734">
        <f>SUM(Table1[[#This Row],[math score]:[writing score]])</f>
        <v>270</v>
      </c>
      <c r="K734" s="1">
        <f>Table1[[#This Row],[total score]]/3</f>
        <v>90</v>
      </c>
      <c r="L734" s="6" t="str">
        <f>VLOOKUP(Table1[[#This Row],[average score]],$AE$9:$AF$13,2,TRUE)</f>
        <v>A</v>
      </c>
      <c r="M7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734" s="2" t="str">
        <f>IF(OR(Table1[[#This Row],[math score]]&lt;$AC$5,Table1[[#This Row],[reading score]]&lt;$AC$5,Table1[[#This Row],[writing score]]&lt;$AC$5), "Failed atleast one", "Passed all")</f>
        <v>Passed all</v>
      </c>
      <c r="O734" t="str">
        <f>VLOOKUP(Table1[[#This Row],[average score]],$AE$9:$AG$13,3,TRUE)</f>
        <v>Outstanding</v>
      </c>
    </row>
    <row r="735" spans="1:15" x14ac:dyDescent="0.2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t="s">
        <v>769</v>
      </c>
      <c r="J735">
        <f>SUM(Table1[[#This Row],[math score]:[writing score]])</f>
        <v>146</v>
      </c>
      <c r="K735" s="1">
        <f>Table1[[#This Row],[total score]]/3</f>
        <v>48.666666666666664</v>
      </c>
      <c r="L735" s="6" t="str">
        <f>VLOOKUP(Table1[[#This Row],[average score]],$AE$9:$AF$13,2,TRUE)</f>
        <v>F</v>
      </c>
      <c r="M7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35" s="2" t="str">
        <f>IF(OR(Table1[[#This Row],[math score]]&lt;$AC$5,Table1[[#This Row],[reading score]]&lt;$AC$5,Table1[[#This Row],[writing score]]&lt;$AC$5), "Failed atleast one", "Passed all")</f>
        <v>Failed atleast one</v>
      </c>
      <c r="O735" t="str">
        <f>VLOOKUP(Table1[[#This Row],[average score]],$AE$9:$AG$13,3,TRUE)</f>
        <v>Poor</v>
      </c>
    </row>
    <row r="736" spans="1:15" x14ac:dyDescent="0.2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t="s">
        <v>770</v>
      </c>
      <c r="J736">
        <f>SUM(Table1[[#This Row],[math score]:[writing score]])</f>
        <v>168</v>
      </c>
      <c r="K736" s="1">
        <f>Table1[[#This Row],[total score]]/3</f>
        <v>56</v>
      </c>
      <c r="L736" s="6" t="str">
        <f>VLOOKUP(Table1[[#This Row],[average score]],$AE$9:$AF$13,2,TRUE)</f>
        <v>F</v>
      </c>
      <c r="M7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36" s="2" t="str">
        <f>IF(OR(Table1[[#This Row],[math score]]&lt;$AC$5,Table1[[#This Row],[reading score]]&lt;$AC$5,Table1[[#This Row],[writing score]]&lt;$AC$5), "Failed atleast one", "Passed all")</f>
        <v>Failed atleast one</v>
      </c>
      <c r="O736" t="str">
        <f>VLOOKUP(Table1[[#This Row],[average score]],$AE$9:$AG$13,3,TRUE)</f>
        <v>Poor</v>
      </c>
    </row>
    <row r="737" spans="1:15" x14ac:dyDescent="0.2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t="s">
        <v>771</v>
      </c>
      <c r="J737">
        <f>SUM(Table1[[#This Row],[math score]:[writing score]])</f>
        <v>183</v>
      </c>
      <c r="K737" s="1">
        <f>Table1[[#This Row],[total score]]/3</f>
        <v>61</v>
      </c>
      <c r="L737" s="6" t="str">
        <f>VLOOKUP(Table1[[#This Row],[average score]],$AE$9:$AF$13,2,TRUE)</f>
        <v>D</v>
      </c>
      <c r="M7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37" s="2" t="str">
        <f>IF(OR(Table1[[#This Row],[math score]]&lt;$AC$5,Table1[[#This Row],[reading score]]&lt;$AC$5,Table1[[#This Row],[writing score]]&lt;$AC$5), "Failed atleast one", "Passed all")</f>
        <v>Failed atleast one</v>
      </c>
      <c r="O737" t="str">
        <f>VLOOKUP(Table1[[#This Row],[average score]],$AE$9:$AG$13,3,TRUE)</f>
        <v>Needs improvements</v>
      </c>
    </row>
    <row r="738" spans="1:15" x14ac:dyDescent="0.2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t="s">
        <v>772</v>
      </c>
      <c r="J738">
        <f>SUM(Table1[[#This Row],[math score]:[writing score]])</f>
        <v>255</v>
      </c>
      <c r="K738" s="1">
        <f>Table1[[#This Row],[total score]]/3</f>
        <v>85</v>
      </c>
      <c r="L738" s="6" t="str">
        <f>VLOOKUP(Table1[[#This Row],[average score]],$AE$9:$AF$13,2,TRUE)</f>
        <v>B</v>
      </c>
      <c r="M7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38" s="2" t="str">
        <f>IF(OR(Table1[[#This Row],[math score]]&lt;$AC$5,Table1[[#This Row],[reading score]]&lt;$AC$5,Table1[[#This Row],[writing score]]&lt;$AC$5), "Failed atleast one", "Passed all")</f>
        <v>Passed all</v>
      </c>
      <c r="O738" t="str">
        <f>VLOOKUP(Table1[[#This Row],[average score]],$AE$9:$AG$13,3,TRUE)</f>
        <v xml:space="preserve">Good </v>
      </c>
    </row>
    <row r="739" spans="1:15" x14ac:dyDescent="0.2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t="s">
        <v>773</v>
      </c>
      <c r="J739">
        <f>SUM(Table1[[#This Row],[math score]:[writing score]])</f>
        <v>192</v>
      </c>
      <c r="K739" s="1">
        <f>Table1[[#This Row],[total score]]/3</f>
        <v>64</v>
      </c>
      <c r="L739" s="6" t="str">
        <f>VLOOKUP(Table1[[#This Row],[average score]],$AE$9:$AF$13,2,TRUE)</f>
        <v>D</v>
      </c>
      <c r="M7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39" s="2" t="str">
        <f>IF(OR(Table1[[#This Row],[math score]]&lt;$AC$5,Table1[[#This Row],[reading score]]&lt;$AC$5,Table1[[#This Row],[writing score]]&lt;$AC$5), "Failed atleast one", "Passed all")</f>
        <v>Failed atleast one</v>
      </c>
      <c r="O739" t="str">
        <f>VLOOKUP(Table1[[#This Row],[average score]],$AE$9:$AG$13,3,TRUE)</f>
        <v>Needs improvements</v>
      </c>
    </row>
    <row r="740" spans="1:15" x14ac:dyDescent="0.2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t="s">
        <v>774</v>
      </c>
      <c r="J740">
        <f>SUM(Table1[[#This Row],[math score]:[writing score]])</f>
        <v>225</v>
      </c>
      <c r="K740" s="1">
        <f>Table1[[#This Row],[total score]]/3</f>
        <v>75</v>
      </c>
      <c r="L740" s="6" t="str">
        <f>VLOOKUP(Table1[[#This Row],[average score]],$AE$9:$AF$13,2,TRUE)</f>
        <v>C</v>
      </c>
      <c r="M7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40" s="2" t="str">
        <f>IF(OR(Table1[[#This Row],[math score]]&lt;$AC$5,Table1[[#This Row],[reading score]]&lt;$AC$5,Table1[[#This Row],[writing score]]&lt;$AC$5), "Failed atleast one", "Passed all")</f>
        <v>Passed all</v>
      </c>
      <c r="O740" t="str">
        <f>VLOOKUP(Table1[[#This Row],[average score]],$AE$9:$AG$13,3,TRUE)</f>
        <v>Satisfactory</v>
      </c>
    </row>
    <row r="741" spans="1:15" x14ac:dyDescent="0.2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t="s">
        <v>775</v>
      </c>
      <c r="J741">
        <f>SUM(Table1[[#This Row],[math score]:[writing score]])</f>
        <v>176</v>
      </c>
      <c r="K741" s="1">
        <f>Table1[[#This Row],[total score]]/3</f>
        <v>58.666666666666664</v>
      </c>
      <c r="L741" s="6" t="str">
        <f>VLOOKUP(Table1[[#This Row],[average score]],$AE$9:$AF$13,2,TRUE)</f>
        <v>F</v>
      </c>
      <c r="M7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41" s="2" t="str">
        <f>IF(OR(Table1[[#This Row],[math score]]&lt;$AC$5,Table1[[#This Row],[reading score]]&lt;$AC$5,Table1[[#This Row],[writing score]]&lt;$AC$5), "Failed atleast one", "Passed all")</f>
        <v>Failed atleast one</v>
      </c>
      <c r="O741" t="str">
        <f>VLOOKUP(Table1[[#This Row],[average score]],$AE$9:$AG$13,3,TRUE)</f>
        <v>Poor</v>
      </c>
    </row>
    <row r="742" spans="1:15" x14ac:dyDescent="0.2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t="s">
        <v>776</v>
      </c>
      <c r="J742">
        <f>SUM(Table1[[#This Row],[math score]:[writing score]])</f>
        <v>225</v>
      </c>
      <c r="K742" s="1">
        <f>Table1[[#This Row],[total score]]/3</f>
        <v>75</v>
      </c>
      <c r="L742" s="6" t="str">
        <f>VLOOKUP(Table1[[#This Row],[average score]],$AE$9:$AF$13,2,TRUE)</f>
        <v>C</v>
      </c>
      <c r="M7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42" s="2" t="str">
        <f>IF(OR(Table1[[#This Row],[math score]]&lt;$AC$5,Table1[[#This Row],[reading score]]&lt;$AC$5,Table1[[#This Row],[writing score]]&lt;$AC$5), "Failed atleast one", "Passed all")</f>
        <v>Passed all</v>
      </c>
      <c r="O742" t="str">
        <f>VLOOKUP(Table1[[#This Row],[average score]],$AE$9:$AG$13,3,TRUE)</f>
        <v>Satisfactory</v>
      </c>
    </row>
    <row r="743" spans="1:15" x14ac:dyDescent="0.2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t="s">
        <v>777</v>
      </c>
      <c r="J743">
        <f>SUM(Table1[[#This Row],[math score]:[writing score]])</f>
        <v>150</v>
      </c>
      <c r="K743" s="1">
        <f>Table1[[#This Row],[total score]]/3</f>
        <v>50</v>
      </c>
      <c r="L743" s="6" t="str">
        <f>VLOOKUP(Table1[[#This Row],[average score]],$AE$9:$AF$13,2,TRUE)</f>
        <v>F</v>
      </c>
      <c r="M7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43" s="2" t="str">
        <f>IF(OR(Table1[[#This Row],[math score]]&lt;$AC$5,Table1[[#This Row],[reading score]]&lt;$AC$5,Table1[[#This Row],[writing score]]&lt;$AC$5), "Failed atleast one", "Passed all")</f>
        <v>Failed atleast one</v>
      </c>
      <c r="O743" t="str">
        <f>VLOOKUP(Table1[[#This Row],[average score]],$AE$9:$AG$13,3,TRUE)</f>
        <v>Poor</v>
      </c>
    </row>
    <row r="744" spans="1:15" x14ac:dyDescent="0.2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t="s">
        <v>778</v>
      </c>
      <c r="J744">
        <f>SUM(Table1[[#This Row],[math score]:[writing score]])</f>
        <v>247</v>
      </c>
      <c r="K744" s="1">
        <f>Table1[[#This Row],[total score]]/3</f>
        <v>82.333333333333329</v>
      </c>
      <c r="L744" s="6" t="str">
        <f>VLOOKUP(Table1[[#This Row],[average score]],$AE$9:$AF$13,2,TRUE)</f>
        <v>B</v>
      </c>
      <c r="M7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44" s="2" t="str">
        <f>IF(OR(Table1[[#This Row],[math score]]&lt;$AC$5,Table1[[#This Row],[reading score]]&lt;$AC$5,Table1[[#This Row],[writing score]]&lt;$AC$5), "Failed atleast one", "Passed all")</f>
        <v>Passed all</v>
      </c>
      <c r="O744" t="str">
        <f>VLOOKUP(Table1[[#This Row],[average score]],$AE$9:$AG$13,3,TRUE)</f>
        <v xml:space="preserve">Good </v>
      </c>
    </row>
    <row r="745" spans="1:15" x14ac:dyDescent="0.2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t="s">
        <v>779</v>
      </c>
      <c r="J745">
        <f>SUM(Table1[[#This Row],[math score]:[writing score]])</f>
        <v>204</v>
      </c>
      <c r="K745" s="1">
        <f>Table1[[#This Row],[total score]]/3</f>
        <v>68</v>
      </c>
      <c r="L745" s="6" t="str">
        <f>VLOOKUP(Table1[[#This Row],[average score]],$AE$9:$AF$13,2,TRUE)</f>
        <v>D</v>
      </c>
      <c r="M7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45" s="2" t="str">
        <f>IF(OR(Table1[[#This Row],[math score]]&lt;$AC$5,Table1[[#This Row],[reading score]]&lt;$AC$5,Table1[[#This Row],[writing score]]&lt;$AC$5), "Failed atleast one", "Passed all")</f>
        <v>Failed atleast one</v>
      </c>
      <c r="O745" t="str">
        <f>VLOOKUP(Table1[[#This Row],[average score]],$AE$9:$AG$13,3,TRUE)</f>
        <v>Needs improvements</v>
      </c>
    </row>
    <row r="746" spans="1:15" x14ac:dyDescent="0.2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t="s">
        <v>780</v>
      </c>
      <c r="J746">
        <f>SUM(Table1[[#This Row],[math score]:[writing score]])</f>
        <v>157</v>
      </c>
      <c r="K746" s="1">
        <f>Table1[[#This Row],[total score]]/3</f>
        <v>52.333333333333336</v>
      </c>
      <c r="L746" s="6" t="str">
        <f>VLOOKUP(Table1[[#This Row],[average score]],$AE$9:$AF$13,2,TRUE)</f>
        <v>F</v>
      </c>
      <c r="M7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46" s="2" t="str">
        <f>IF(OR(Table1[[#This Row],[math score]]&lt;$AC$5,Table1[[#This Row],[reading score]]&lt;$AC$5,Table1[[#This Row],[writing score]]&lt;$AC$5), "Failed atleast one", "Passed all")</f>
        <v>Failed atleast one</v>
      </c>
      <c r="O746" t="str">
        <f>VLOOKUP(Table1[[#This Row],[average score]],$AE$9:$AG$13,3,TRUE)</f>
        <v>Poor</v>
      </c>
    </row>
    <row r="747" spans="1:15" x14ac:dyDescent="0.2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t="s">
        <v>781</v>
      </c>
      <c r="J747">
        <f>SUM(Table1[[#This Row],[math score]:[writing score]])</f>
        <v>225</v>
      </c>
      <c r="K747" s="1">
        <f>Table1[[#This Row],[total score]]/3</f>
        <v>75</v>
      </c>
      <c r="L747" s="6" t="str">
        <f>VLOOKUP(Table1[[#This Row],[average score]],$AE$9:$AF$13,2,TRUE)</f>
        <v>C</v>
      </c>
      <c r="M7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47" s="2" t="str">
        <f>IF(OR(Table1[[#This Row],[math score]]&lt;$AC$5,Table1[[#This Row],[reading score]]&lt;$AC$5,Table1[[#This Row],[writing score]]&lt;$AC$5), "Failed atleast one", "Passed all")</f>
        <v>Passed all</v>
      </c>
      <c r="O747" t="str">
        <f>VLOOKUP(Table1[[#This Row],[average score]],$AE$9:$AG$13,3,TRUE)</f>
        <v>Satisfactory</v>
      </c>
    </row>
    <row r="748" spans="1:15" x14ac:dyDescent="0.2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t="s">
        <v>782</v>
      </c>
      <c r="J748">
        <f>SUM(Table1[[#This Row],[math score]:[writing score]])</f>
        <v>215</v>
      </c>
      <c r="K748" s="1">
        <f>Table1[[#This Row],[total score]]/3</f>
        <v>71.666666666666671</v>
      </c>
      <c r="L748" s="6" t="str">
        <f>VLOOKUP(Table1[[#This Row],[average score]],$AE$9:$AF$13,2,TRUE)</f>
        <v>C</v>
      </c>
      <c r="M7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48" s="2" t="str">
        <f>IF(OR(Table1[[#This Row],[math score]]&lt;$AC$5,Table1[[#This Row],[reading score]]&lt;$AC$5,Table1[[#This Row],[writing score]]&lt;$AC$5), "Failed atleast one", "Passed all")</f>
        <v>Passed all</v>
      </c>
      <c r="O748" t="str">
        <f>VLOOKUP(Table1[[#This Row],[average score]],$AE$9:$AG$13,3,TRUE)</f>
        <v>Satisfactory</v>
      </c>
    </row>
    <row r="749" spans="1:15" x14ac:dyDescent="0.2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t="s">
        <v>783</v>
      </c>
      <c r="J749">
        <f>SUM(Table1[[#This Row],[math score]:[writing score]])</f>
        <v>201</v>
      </c>
      <c r="K749" s="1">
        <f>Table1[[#This Row],[total score]]/3</f>
        <v>67</v>
      </c>
      <c r="L749" s="6" t="str">
        <f>VLOOKUP(Table1[[#This Row],[average score]],$AE$9:$AF$13,2,TRUE)</f>
        <v>D</v>
      </c>
      <c r="M7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49" s="2" t="str">
        <f>IF(OR(Table1[[#This Row],[math score]]&lt;$AC$5,Table1[[#This Row],[reading score]]&lt;$AC$5,Table1[[#This Row],[writing score]]&lt;$AC$5), "Failed atleast one", "Passed all")</f>
        <v>Passed all</v>
      </c>
      <c r="O749" t="str">
        <f>VLOOKUP(Table1[[#This Row],[average score]],$AE$9:$AG$13,3,TRUE)</f>
        <v>Needs improvements</v>
      </c>
    </row>
    <row r="750" spans="1:15" x14ac:dyDescent="0.2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t="s">
        <v>784</v>
      </c>
      <c r="J750">
        <f>SUM(Table1[[#This Row],[math score]:[writing score]])</f>
        <v>169</v>
      </c>
      <c r="K750" s="1">
        <f>Table1[[#This Row],[total score]]/3</f>
        <v>56.333333333333336</v>
      </c>
      <c r="L750" s="6" t="str">
        <f>VLOOKUP(Table1[[#This Row],[average score]],$AE$9:$AF$13,2,TRUE)</f>
        <v>F</v>
      </c>
      <c r="M7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50" s="2" t="str">
        <f>IF(OR(Table1[[#This Row],[math score]]&lt;$AC$5,Table1[[#This Row],[reading score]]&lt;$AC$5,Table1[[#This Row],[writing score]]&lt;$AC$5), "Failed atleast one", "Passed all")</f>
        <v>Failed atleast one</v>
      </c>
      <c r="O750" t="str">
        <f>VLOOKUP(Table1[[#This Row],[average score]],$AE$9:$AG$13,3,TRUE)</f>
        <v>Poor</v>
      </c>
    </row>
    <row r="751" spans="1:15" x14ac:dyDescent="0.2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t="s">
        <v>785</v>
      </c>
      <c r="J751">
        <f>SUM(Table1[[#This Row],[math score]:[writing score]])</f>
        <v>257</v>
      </c>
      <c r="K751" s="1">
        <f>Table1[[#This Row],[total score]]/3</f>
        <v>85.666666666666671</v>
      </c>
      <c r="L751" s="6" t="str">
        <f>VLOOKUP(Table1[[#This Row],[average score]],$AE$9:$AF$13,2,TRUE)</f>
        <v>B</v>
      </c>
      <c r="M7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51" s="2" t="str">
        <f>IF(OR(Table1[[#This Row],[math score]]&lt;$AC$5,Table1[[#This Row],[reading score]]&lt;$AC$5,Table1[[#This Row],[writing score]]&lt;$AC$5), "Failed atleast one", "Passed all")</f>
        <v>Passed all</v>
      </c>
      <c r="O751" t="str">
        <f>VLOOKUP(Table1[[#This Row],[average score]],$AE$9:$AG$13,3,TRUE)</f>
        <v xml:space="preserve">Good </v>
      </c>
    </row>
    <row r="752" spans="1:15" x14ac:dyDescent="0.2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t="s">
        <v>786</v>
      </c>
      <c r="J752">
        <f>SUM(Table1[[#This Row],[math score]:[writing score]])</f>
        <v>208</v>
      </c>
      <c r="K752" s="1">
        <f>Table1[[#This Row],[total score]]/3</f>
        <v>69.333333333333329</v>
      </c>
      <c r="L752" s="6" t="str">
        <f>VLOOKUP(Table1[[#This Row],[average score]],$AE$9:$AF$13,2,TRUE)</f>
        <v>D</v>
      </c>
      <c r="M7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52" s="2" t="str">
        <f>IF(OR(Table1[[#This Row],[math score]]&lt;$AC$5,Table1[[#This Row],[reading score]]&lt;$AC$5,Table1[[#This Row],[writing score]]&lt;$AC$5), "Failed atleast one", "Passed all")</f>
        <v>Passed all</v>
      </c>
      <c r="O752" t="str">
        <f>VLOOKUP(Table1[[#This Row],[average score]],$AE$9:$AG$13,3,TRUE)</f>
        <v>Needs improvements</v>
      </c>
    </row>
    <row r="753" spans="1:15" x14ac:dyDescent="0.2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t="s">
        <v>787</v>
      </c>
      <c r="J753">
        <f>SUM(Table1[[#This Row],[math score]:[writing score]])</f>
        <v>205</v>
      </c>
      <c r="K753" s="1">
        <f>Table1[[#This Row],[total score]]/3</f>
        <v>68.333333333333329</v>
      </c>
      <c r="L753" s="6" t="str">
        <f>VLOOKUP(Table1[[#This Row],[average score]],$AE$9:$AF$13,2,TRUE)</f>
        <v>D</v>
      </c>
      <c r="M7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53" s="2" t="str">
        <f>IF(OR(Table1[[#This Row],[math score]]&lt;$AC$5,Table1[[#This Row],[reading score]]&lt;$AC$5,Table1[[#This Row],[writing score]]&lt;$AC$5), "Failed atleast one", "Passed all")</f>
        <v>Passed all</v>
      </c>
      <c r="O753" t="str">
        <f>VLOOKUP(Table1[[#This Row],[average score]],$AE$9:$AG$13,3,TRUE)</f>
        <v>Needs improvements</v>
      </c>
    </row>
    <row r="754" spans="1:15" x14ac:dyDescent="0.2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t="s">
        <v>788</v>
      </c>
      <c r="J754">
        <f>SUM(Table1[[#This Row],[math score]:[writing score]])</f>
        <v>231</v>
      </c>
      <c r="K754" s="1">
        <f>Table1[[#This Row],[total score]]/3</f>
        <v>77</v>
      </c>
      <c r="L754" s="6" t="str">
        <f>VLOOKUP(Table1[[#This Row],[average score]],$AE$9:$AF$13,2,TRUE)</f>
        <v>C</v>
      </c>
      <c r="M7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54" s="2" t="str">
        <f>IF(OR(Table1[[#This Row],[math score]]&lt;$AC$5,Table1[[#This Row],[reading score]]&lt;$AC$5,Table1[[#This Row],[writing score]]&lt;$AC$5), "Failed atleast one", "Passed all")</f>
        <v>Passed all</v>
      </c>
      <c r="O754" t="str">
        <f>VLOOKUP(Table1[[#This Row],[average score]],$AE$9:$AG$13,3,TRUE)</f>
        <v>Satisfactory</v>
      </c>
    </row>
    <row r="755" spans="1:15" x14ac:dyDescent="0.2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t="s">
        <v>789</v>
      </c>
      <c r="J755">
        <f>SUM(Table1[[#This Row],[math score]:[writing score]])</f>
        <v>252</v>
      </c>
      <c r="K755" s="1">
        <f>Table1[[#This Row],[total score]]/3</f>
        <v>84</v>
      </c>
      <c r="L755" s="6" t="str">
        <f>VLOOKUP(Table1[[#This Row],[average score]],$AE$9:$AF$13,2,TRUE)</f>
        <v>B</v>
      </c>
      <c r="M7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55" s="2" t="str">
        <f>IF(OR(Table1[[#This Row],[math score]]&lt;$AC$5,Table1[[#This Row],[reading score]]&lt;$AC$5,Table1[[#This Row],[writing score]]&lt;$AC$5), "Failed atleast one", "Passed all")</f>
        <v>Passed all</v>
      </c>
      <c r="O755" t="str">
        <f>VLOOKUP(Table1[[#This Row],[average score]],$AE$9:$AG$13,3,TRUE)</f>
        <v xml:space="preserve">Good </v>
      </c>
    </row>
    <row r="756" spans="1:15" x14ac:dyDescent="0.2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t="s">
        <v>790</v>
      </c>
      <c r="J756">
        <f>SUM(Table1[[#This Row],[math score]:[writing score]])</f>
        <v>166</v>
      </c>
      <c r="K756" s="1">
        <f>Table1[[#This Row],[total score]]/3</f>
        <v>55.333333333333336</v>
      </c>
      <c r="L756" s="6" t="str">
        <f>VLOOKUP(Table1[[#This Row],[average score]],$AE$9:$AF$13,2,TRUE)</f>
        <v>F</v>
      </c>
      <c r="M7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56" s="2" t="str">
        <f>IF(OR(Table1[[#This Row],[math score]]&lt;$AC$5,Table1[[#This Row],[reading score]]&lt;$AC$5,Table1[[#This Row],[writing score]]&lt;$AC$5), "Failed atleast one", "Passed all")</f>
        <v>Failed atleast one</v>
      </c>
      <c r="O756" t="str">
        <f>VLOOKUP(Table1[[#This Row],[average score]],$AE$9:$AG$13,3,TRUE)</f>
        <v>Poor</v>
      </c>
    </row>
    <row r="757" spans="1:15" x14ac:dyDescent="0.2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t="s">
        <v>791</v>
      </c>
      <c r="J757">
        <f>SUM(Table1[[#This Row],[math score]:[writing score]])</f>
        <v>271</v>
      </c>
      <c r="K757" s="1">
        <f>Table1[[#This Row],[total score]]/3</f>
        <v>90.333333333333329</v>
      </c>
      <c r="L757" s="6" t="str">
        <f>VLOOKUP(Table1[[#This Row],[average score]],$AE$9:$AF$13,2,TRUE)</f>
        <v>A</v>
      </c>
      <c r="M7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757" s="2" t="str">
        <f>IF(OR(Table1[[#This Row],[math score]]&lt;$AC$5,Table1[[#This Row],[reading score]]&lt;$AC$5,Table1[[#This Row],[writing score]]&lt;$AC$5), "Failed atleast one", "Passed all")</f>
        <v>Passed all</v>
      </c>
      <c r="O757" t="str">
        <f>VLOOKUP(Table1[[#This Row],[average score]],$AE$9:$AG$13,3,TRUE)</f>
        <v>Outstanding</v>
      </c>
    </row>
    <row r="758" spans="1:15" x14ac:dyDescent="0.2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t="s">
        <v>792</v>
      </c>
      <c r="J758">
        <f>SUM(Table1[[#This Row],[math score]:[writing score]])</f>
        <v>165</v>
      </c>
      <c r="K758" s="1">
        <f>Table1[[#This Row],[total score]]/3</f>
        <v>55</v>
      </c>
      <c r="L758" s="6" t="str">
        <f>VLOOKUP(Table1[[#This Row],[average score]],$AE$9:$AF$13,2,TRUE)</f>
        <v>F</v>
      </c>
      <c r="M7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58" s="2" t="str">
        <f>IF(OR(Table1[[#This Row],[math score]]&lt;$AC$5,Table1[[#This Row],[reading score]]&lt;$AC$5,Table1[[#This Row],[writing score]]&lt;$AC$5), "Failed atleast one", "Passed all")</f>
        <v>Failed atleast one</v>
      </c>
      <c r="O758" t="str">
        <f>VLOOKUP(Table1[[#This Row],[average score]],$AE$9:$AG$13,3,TRUE)</f>
        <v>Poor</v>
      </c>
    </row>
    <row r="759" spans="1:15" x14ac:dyDescent="0.2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t="s">
        <v>793</v>
      </c>
      <c r="J759">
        <f>SUM(Table1[[#This Row],[math score]:[writing score]])</f>
        <v>210</v>
      </c>
      <c r="K759" s="1">
        <f>Table1[[#This Row],[total score]]/3</f>
        <v>70</v>
      </c>
      <c r="L759" s="6" t="str">
        <f>VLOOKUP(Table1[[#This Row],[average score]],$AE$9:$AF$13,2,TRUE)</f>
        <v>C</v>
      </c>
      <c r="M7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59" s="2" t="str">
        <f>IF(OR(Table1[[#This Row],[math score]]&lt;$AC$5,Table1[[#This Row],[reading score]]&lt;$AC$5,Table1[[#This Row],[writing score]]&lt;$AC$5), "Failed atleast one", "Passed all")</f>
        <v>Passed all</v>
      </c>
      <c r="O759" t="str">
        <f>VLOOKUP(Table1[[#This Row],[average score]],$AE$9:$AG$13,3,TRUE)</f>
        <v>Satisfactory</v>
      </c>
    </row>
    <row r="760" spans="1:15" x14ac:dyDescent="0.2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t="s">
        <v>794</v>
      </c>
      <c r="J760">
        <f>SUM(Table1[[#This Row],[math score]:[writing score]])</f>
        <v>176</v>
      </c>
      <c r="K760" s="1">
        <f>Table1[[#This Row],[total score]]/3</f>
        <v>58.666666666666664</v>
      </c>
      <c r="L760" s="6" t="str">
        <f>VLOOKUP(Table1[[#This Row],[average score]],$AE$9:$AF$13,2,TRUE)</f>
        <v>F</v>
      </c>
      <c r="M7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60" s="2" t="str">
        <f>IF(OR(Table1[[#This Row],[math score]]&lt;$AC$5,Table1[[#This Row],[reading score]]&lt;$AC$5,Table1[[#This Row],[writing score]]&lt;$AC$5), "Failed atleast one", "Passed all")</f>
        <v>Failed atleast one</v>
      </c>
      <c r="O760" t="str">
        <f>VLOOKUP(Table1[[#This Row],[average score]],$AE$9:$AG$13,3,TRUE)</f>
        <v>Poor</v>
      </c>
    </row>
    <row r="761" spans="1:15" x14ac:dyDescent="0.2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t="s">
        <v>795</v>
      </c>
      <c r="J761">
        <f>SUM(Table1[[#This Row],[math score]:[writing score]])</f>
        <v>223</v>
      </c>
      <c r="K761" s="1">
        <f>Table1[[#This Row],[total score]]/3</f>
        <v>74.333333333333329</v>
      </c>
      <c r="L761" s="6" t="str">
        <f>VLOOKUP(Table1[[#This Row],[average score]],$AE$9:$AF$13,2,TRUE)</f>
        <v>C</v>
      </c>
      <c r="M7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61" s="2" t="str">
        <f>IF(OR(Table1[[#This Row],[math score]]&lt;$AC$5,Table1[[#This Row],[reading score]]&lt;$AC$5,Table1[[#This Row],[writing score]]&lt;$AC$5), "Failed atleast one", "Passed all")</f>
        <v>Passed all</v>
      </c>
      <c r="O761" t="str">
        <f>VLOOKUP(Table1[[#This Row],[average score]],$AE$9:$AG$13,3,TRUE)</f>
        <v>Satisfactory</v>
      </c>
    </row>
    <row r="762" spans="1:15" x14ac:dyDescent="0.2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t="s">
        <v>796</v>
      </c>
      <c r="J762">
        <f>SUM(Table1[[#This Row],[math score]:[writing score]])</f>
        <v>189</v>
      </c>
      <c r="K762" s="1">
        <f>Table1[[#This Row],[total score]]/3</f>
        <v>63</v>
      </c>
      <c r="L762" s="6" t="str">
        <f>VLOOKUP(Table1[[#This Row],[average score]],$AE$9:$AF$13,2,TRUE)</f>
        <v>D</v>
      </c>
      <c r="M7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62" s="2" t="str">
        <f>IF(OR(Table1[[#This Row],[math score]]&lt;$AC$5,Table1[[#This Row],[reading score]]&lt;$AC$5,Table1[[#This Row],[writing score]]&lt;$AC$5), "Failed atleast one", "Passed all")</f>
        <v>Failed atleast one</v>
      </c>
      <c r="O762" t="str">
        <f>VLOOKUP(Table1[[#This Row],[average score]],$AE$9:$AG$13,3,TRUE)</f>
        <v>Needs improvements</v>
      </c>
    </row>
    <row r="763" spans="1:15" x14ac:dyDescent="0.2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t="s">
        <v>797</v>
      </c>
      <c r="J763">
        <f>SUM(Table1[[#This Row],[math score]:[writing score]])</f>
        <v>160</v>
      </c>
      <c r="K763" s="1">
        <f>Table1[[#This Row],[total score]]/3</f>
        <v>53.333333333333336</v>
      </c>
      <c r="L763" s="6" t="str">
        <f>VLOOKUP(Table1[[#This Row],[average score]],$AE$9:$AF$13,2,TRUE)</f>
        <v>F</v>
      </c>
      <c r="M7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63" s="2" t="str">
        <f>IF(OR(Table1[[#This Row],[math score]]&lt;$AC$5,Table1[[#This Row],[reading score]]&lt;$AC$5,Table1[[#This Row],[writing score]]&lt;$AC$5), "Failed atleast one", "Passed all")</f>
        <v>Failed atleast one</v>
      </c>
      <c r="O763" t="str">
        <f>VLOOKUP(Table1[[#This Row],[average score]],$AE$9:$AG$13,3,TRUE)</f>
        <v>Poor</v>
      </c>
    </row>
    <row r="764" spans="1:15" x14ac:dyDescent="0.2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t="s">
        <v>798</v>
      </c>
      <c r="J764">
        <f>SUM(Table1[[#This Row],[math score]:[writing score]])</f>
        <v>245</v>
      </c>
      <c r="K764" s="1">
        <f>Table1[[#This Row],[total score]]/3</f>
        <v>81.666666666666671</v>
      </c>
      <c r="L764" s="6" t="str">
        <f>VLOOKUP(Table1[[#This Row],[average score]],$AE$9:$AF$13,2,TRUE)</f>
        <v>B</v>
      </c>
      <c r="M7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64" s="2" t="str">
        <f>IF(OR(Table1[[#This Row],[math score]]&lt;$AC$5,Table1[[#This Row],[reading score]]&lt;$AC$5,Table1[[#This Row],[writing score]]&lt;$AC$5), "Failed atleast one", "Passed all")</f>
        <v>Passed all</v>
      </c>
      <c r="O764" t="str">
        <f>VLOOKUP(Table1[[#This Row],[average score]],$AE$9:$AG$13,3,TRUE)</f>
        <v xml:space="preserve">Good </v>
      </c>
    </row>
    <row r="765" spans="1:15" x14ac:dyDescent="0.2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t="s">
        <v>799</v>
      </c>
      <c r="J765">
        <f>SUM(Table1[[#This Row],[math score]:[writing score]])</f>
        <v>187</v>
      </c>
      <c r="K765" s="1">
        <f>Table1[[#This Row],[total score]]/3</f>
        <v>62.333333333333336</v>
      </c>
      <c r="L765" s="6" t="str">
        <f>VLOOKUP(Table1[[#This Row],[average score]],$AE$9:$AF$13,2,TRUE)</f>
        <v>D</v>
      </c>
      <c r="M7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65" s="2" t="str">
        <f>IF(OR(Table1[[#This Row],[math score]]&lt;$AC$5,Table1[[#This Row],[reading score]]&lt;$AC$5,Table1[[#This Row],[writing score]]&lt;$AC$5), "Failed atleast one", "Passed all")</f>
        <v>Passed all</v>
      </c>
      <c r="O765" t="str">
        <f>VLOOKUP(Table1[[#This Row],[average score]],$AE$9:$AG$13,3,TRUE)</f>
        <v>Needs improvements</v>
      </c>
    </row>
    <row r="766" spans="1:15" x14ac:dyDescent="0.2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t="s">
        <v>800</v>
      </c>
      <c r="J766">
        <f>SUM(Table1[[#This Row],[math score]:[writing score]])</f>
        <v>182</v>
      </c>
      <c r="K766" s="1">
        <f>Table1[[#This Row],[total score]]/3</f>
        <v>60.666666666666664</v>
      </c>
      <c r="L766" s="6" t="str">
        <f>VLOOKUP(Table1[[#This Row],[average score]],$AE$9:$AF$13,2,TRUE)</f>
        <v>D</v>
      </c>
      <c r="M7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66" s="2" t="str">
        <f>IF(OR(Table1[[#This Row],[math score]]&lt;$AC$5,Table1[[#This Row],[reading score]]&lt;$AC$5,Table1[[#This Row],[writing score]]&lt;$AC$5), "Failed atleast one", "Passed all")</f>
        <v>Failed atleast one</v>
      </c>
      <c r="O766" t="str">
        <f>VLOOKUP(Table1[[#This Row],[average score]],$AE$9:$AG$13,3,TRUE)</f>
        <v>Needs improvements</v>
      </c>
    </row>
    <row r="767" spans="1:15" x14ac:dyDescent="0.2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t="s">
        <v>801</v>
      </c>
      <c r="J767">
        <f>SUM(Table1[[#This Row],[math score]:[writing score]])</f>
        <v>218</v>
      </c>
      <c r="K767" s="1">
        <f>Table1[[#This Row],[total score]]/3</f>
        <v>72.666666666666671</v>
      </c>
      <c r="L767" s="6" t="str">
        <f>VLOOKUP(Table1[[#This Row],[average score]],$AE$9:$AF$13,2,TRUE)</f>
        <v>C</v>
      </c>
      <c r="M7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67" s="2" t="str">
        <f>IF(OR(Table1[[#This Row],[math score]]&lt;$AC$5,Table1[[#This Row],[reading score]]&lt;$AC$5,Table1[[#This Row],[writing score]]&lt;$AC$5), "Failed atleast one", "Passed all")</f>
        <v>Passed all</v>
      </c>
      <c r="O767" t="str">
        <f>VLOOKUP(Table1[[#This Row],[average score]],$AE$9:$AG$13,3,TRUE)</f>
        <v>Satisfactory</v>
      </c>
    </row>
    <row r="768" spans="1:15" x14ac:dyDescent="0.2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t="s">
        <v>802</v>
      </c>
      <c r="J768">
        <f>SUM(Table1[[#This Row],[math score]:[writing score]])</f>
        <v>210</v>
      </c>
      <c r="K768" s="1">
        <f>Table1[[#This Row],[total score]]/3</f>
        <v>70</v>
      </c>
      <c r="L768" s="6" t="str">
        <f>VLOOKUP(Table1[[#This Row],[average score]],$AE$9:$AF$13,2,TRUE)</f>
        <v>C</v>
      </c>
      <c r="M7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68" s="2" t="str">
        <f>IF(OR(Table1[[#This Row],[math score]]&lt;$AC$5,Table1[[#This Row],[reading score]]&lt;$AC$5,Table1[[#This Row],[writing score]]&lt;$AC$5), "Failed atleast one", "Passed all")</f>
        <v>Failed atleast one</v>
      </c>
      <c r="O768" t="str">
        <f>VLOOKUP(Table1[[#This Row],[average score]],$AE$9:$AG$13,3,TRUE)</f>
        <v>Satisfactory</v>
      </c>
    </row>
    <row r="769" spans="1:15" x14ac:dyDescent="0.2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t="s">
        <v>803</v>
      </c>
      <c r="J769">
        <f>SUM(Table1[[#This Row],[math score]:[writing score]])</f>
        <v>198</v>
      </c>
      <c r="K769" s="1">
        <f>Table1[[#This Row],[total score]]/3</f>
        <v>66</v>
      </c>
      <c r="L769" s="6" t="str">
        <f>VLOOKUP(Table1[[#This Row],[average score]],$AE$9:$AF$13,2,TRUE)</f>
        <v>D</v>
      </c>
      <c r="M7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69" s="2" t="str">
        <f>IF(OR(Table1[[#This Row],[math score]]&lt;$AC$5,Table1[[#This Row],[reading score]]&lt;$AC$5,Table1[[#This Row],[writing score]]&lt;$AC$5), "Failed atleast one", "Passed all")</f>
        <v>Passed all</v>
      </c>
      <c r="O769" t="str">
        <f>VLOOKUP(Table1[[#This Row],[average score]],$AE$9:$AG$13,3,TRUE)</f>
        <v>Needs improvements</v>
      </c>
    </row>
    <row r="770" spans="1:15" x14ac:dyDescent="0.2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t="s">
        <v>804</v>
      </c>
      <c r="J770">
        <f>SUM(Table1[[#This Row],[math score]:[writing score]])</f>
        <v>214</v>
      </c>
      <c r="K770" s="1">
        <f>Table1[[#This Row],[total score]]/3</f>
        <v>71.333333333333329</v>
      </c>
      <c r="L770" s="6" t="str">
        <f>VLOOKUP(Table1[[#This Row],[average score]],$AE$9:$AF$13,2,TRUE)</f>
        <v>C</v>
      </c>
      <c r="M7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70" s="2" t="str">
        <f>IF(OR(Table1[[#This Row],[math score]]&lt;$AC$5,Table1[[#This Row],[reading score]]&lt;$AC$5,Table1[[#This Row],[writing score]]&lt;$AC$5), "Failed atleast one", "Passed all")</f>
        <v>Passed all</v>
      </c>
      <c r="O770" t="str">
        <f>VLOOKUP(Table1[[#This Row],[average score]],$AE$9:$AG$13,3,TRUE)</f>
        <v>Satisfactory</v>
      </c>
    </row>
    <row r="771" spans="1:15" x14ac:dyDescent="0.2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t="s">
        <v>805</v>
      </c>
      <c r="J771">
        <f>SUM(Table1[[#This Row],[math score]:[writing score]])</f>
        <v>175</v>
      </c>
      <c r="K771" s="1">
        <f>Table1[[#This Row],[total score]]/3</f>
        <v>58.333333333333336</v>
      </c>
      <c r="L771" s="6" t="str">
        <f>VLOOKUP(Table1[[#This Row],[average score]],$AE$9:$AF$13,2,TRUE)</f>
        <v>F</v>
      </c>
      <c r="M7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71" s="2" t="str">
        <f>IF(OR(Table1[[#This Row],[math score]]&lt;$AC$5,Table1[[#This Row],[reading score]]&lt;$AC$5,Table1[[#This Row],[writing score]]&lt;$AC$5), "Failed atleast one", "Passed all")</f>
        <v>Failed atleast one</v>
      </c>
      <c r="O771" t="str">
        <f>VLOOKUP(Table1[[#This Row],[average score]],$AE$9:$AG$13,3,TRUE)</f>
        <v>Poor</v>
      </c>
    </row>
    <row r="772" spans="1:15" x14ac:dyDescent="0.2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t="s">
        <v>806</v>
      </c>
      <c r="J772">
        <f>SUM(Table1[[#This Row],[math score]:[writing score]])</f>
        <v>149</v>
      </c>
      <c r="K772" s="1">
        <f>Table1[[#This Row],[total score]]/3</f>
        <v>49.666666666666664</v>
      </c>
      <c r="L772" s="6" t="str">
        <f>VLOOKUP(Table1[[#This Row],[average score]],$AE$9:$AF$13,2,TRUE)</f>
        <v>F</v>
      </c>
      <c r="M7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72" s="2" t="str">
        <f>IF(OR(Table1[[#This Row],[math score]]&lt;$AC$5,Table1[[#This Row],[reading score]]&lt;$AC$5,Table1[[#This Row],[writing score]]&lt;$AC$5), "Failed atleast one", "Passed all")</f>
        <v>Failed atleast one</v>
      </c>
      <c r="O772" t="str">
        <f>VLOOKUP(Table1[[#This Row],[average score]],$AE$9:$AG$13,3,TRUE)</f>
        <v>Poor</v>
      </c>
    </row>
    <row r="773" spans="1:15" x14ac:dyDescent="0.2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t="s">
        <v>807</v>
      </c>
      <c r="J773">
        <f>SUM(Table1[[#This Row],[math score]:[writing score]])</f>
        <v>222</v>
      </c>
      <c r="K773" s="1">
        <f>Table1[[#This Row],[total score]]/3</f>
        <v>74</v>
      </c>
      <c r="L773" s="6" t="str">
        <f>VLOOKUP(Table1[[#This Row],[average score]],$AE$9:$AF$13,2,TRUE)</f>
        <v>C</v>
      </c>
      <c r="M7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73" s="2" t="str">
        <f>IF(OR(Table1[[#This Row],[math score]]&lt;$AC$5,Table1[[#This Row],[reading score]]&lt;$AC$5,Table1[[#This Row],[writing score]]&lt;$AC$5), "Failed atleast one", "Passed all")</f>
        <v>Passed all</v>
      </c>
      <c r="O773" t="str">
        <f>VLOOKUP(Table1[[#This Row],[average score]],$AE$9:$AG$13,3,TRUE)</f>
        <v>Satisfactory</v>
      </c>
    </row>
    <row r="774" spans="1:15" x14ac:dyDescent="0.2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t="s">
        <v>808</v>
      </c>
      <c r="J774">
        <f>SUM(Table1[[#This Row],[math score]:[writing score]])</f>
        <v>191</v>
      </c>
      <c r="K774" s="1">
        <f>Table1[[#This Row],[total score]]/3</f>
        <v>63.666666666666664</v>
      </c>
      <c r="L774" s="6" t="str">
        <f>VLOOKUP(Table1[[#This Row],[average score]],$AE$9:$AF$13,2,TRUE)</f>
        <v>D</v>
      </c>
      <c r="M7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74" s="2" t="str">
        <f>IF(OR(Table1[[#This Row],[math score]]&lt;$AC$5,Table1[[#This Row],[reading score]]&lt;$AC$5,Table1[[#This Row],[writing score]]&lt;$AC$5), "Failed atleast one", "Passed all")</f>
        <v>Failed atleast one</v>
      </c>
      <c r="O774" t="str">
        <f>VLOOKUP(Table1[[#This Row],[average score]],$AE$9:$AG$13,3,TRUE)</f>
        <v>Needs improvements</v>
      </c>
    </row>
    <row r="775" spans="1:15" x14ac:dyDescent="0.2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t="s">
        <v>809</v>
      </c>
      <c r="J775">
        <f>SUM(Table1[[#This Row],[math score]:[writing score]])</f>
        <v>219</v>
      </c>
      <c r="K775" s="1">
        <f>Table1[[#This Row],[total score]]/3</f>
        <v>73</v>
      </c>
      <c r="L775" s="6" t="str">
        <f>VLOOKUP(Table1[[#This Row],[average score]],$AE$9:$AF$13,2,TRUE)</f>
        <v>C</v>
      </c>
      <c r="M7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75" s="2" t="str">
        <f>IF(OR(Table1[[#This Row],[math score]]&lt;$AC$5,Table1[[#This Row],[reading score]]&lt;$AC$5,Table1[[#This Row],[writing score]]&lt;$AC$5), "Failed atleast one", "Passed all")</f>
        <v>Passed all</v>
      </c>
      <c r="O775" t="str">
        <f>VLOOKUP(Table1[[#This Row],[average score]],$AE$9:$AG$13,3,TRUE)</f>
        <v>Satisfactory</v>
      </c>
    </row>
    <row r="776" spans="1:15" x14ac:dyDescent="0.2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t="s">
        <v>810</v>
      </c>
      <c r="J776">
        <f>SUM(Table1[[#This Row],[math score]:[writing score]])</f>
        <v>191</v>
      </c>
      <c r="K776" s="1">
        <f>Table1[[#This Row],[total score]]/3</f>
        <v>63.666666666666664</v>
      </c>
      <c r="L776" s="6" t="str">
        <f>VLOOKUP(Table1[[#This Row],[average score]],$AE$9:$AF$13,2,TRUE)</f>
        <v>D</v>
      </c>
      <c r="M7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76" s="2" t="str">
        <f>IF(OR(Table1[[#This Row],[math score]]&lt;$AC$5,Table1[[#This Row],[reading score]]&lt;$AC$5,Table1[[#This Row],[writing score]]&lt;$AC$5), "Failed atleast one", "Passed all")</f>
        <v>Passed all</v>
      </c>
      <c r="O776" t="str">
        <f>VLOOKUP(Table1[[#This Row],[average score]],$AE$9:$AG$13,3,TRUE)</f>
        <v>Needs improvements</v>
      </c>
    </row>
    <row r="777" spans="1:15" x14ac:dyDescent="0.2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t="s">
        <v>811</v>
      </c>
      <c r="J777">
        <f>SUM(Table1[[#This Row],[math score]:[writing score]])</f>
        <v>162</v>
      </c>
      <c r="K777" s="1">
        <f>Table1[[#This Row],[total score]]/3</f>
        <v>54</v>
      </c>
      <c r="L777" s="6" t="str">
        <f>VLOOKUP(Table1[[#This Row],[average score]],$AE$9:$AF$13,2,TRUE)</f>
        <v>F</v>
      </c>
      <c r="M7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77" s="2" t="str">
        <f>IF(OR(Table1[[#This Row],[math score]]&lt;$AC$5,Table1[[#This Row],[reading score]]&lt;$AC$5,Table1[[#This Row],[writing score]]&lt;$AC$5), "Failed atleast one", "Passed all")</f>
        <v>Failed atleast one</v>
      </c>
      <c r="O777" t="str">
        <f>VLOOKUP(Table1[[#This Row],[average score]],$AE$9:$AG$13,3,TRUE)</f>
        <v>Poor</v>
      </c>
    </row>
    <row r="778" spans="1:15" x14ac:dyDescent="0.2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t="s">
        <v>812</v>
      </c>
      <c r="J778">
        <f>SUM(Table1[[#This Row],[math score]:[writing score]])</f>
        <v>208</v>
      </c>
      <c r="K778" s="1">
        <f>Table1[[#This Row],[total score]]/3</f>
        <v>69.333333333333329</v>
      </c>
      <c r="L778" s="6" t="str">
        <f>VLOOKUP(Table1[[#This Row],[average score]],$AE$9:$AF$13,2,TRUE)</f>
        <v>D</v>
      </c>
      <c r="M7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78" s="2" t="str">
        <f>IF(OR(Table1[[#This Row],[math score]]&lt;$AC$5,Table1[[#This Row],[reading score]]&lt;$AC$5,Table1[[#This Row],[writing score]]&lt;$AC$5), "Failed atleast one", "Passed all")</f>
        <v>Passed all</v>
      </c>
      <c r="O778" t="str">
        <f>VLOOKUP(Table1[[#This Row],[average score]],$AE$9:$AG$13,3,TRUE)</f>
        <v>Needs improvements</v>
      </c>
    </row>
    <row r="779" spans="1:15" x14ac:dyDescent="0.2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t="s">
        <v>813</v>
      </c>
      <c r="J779">
        <f>SUM(Table1[[#This Row],[math score]:[writing score]])</f>
        <v>122</v>
      </c>
      <c r="K779" s="1">
        <f>Table1[[#This Row],[total score]]/3</f>
        <v>40.666666666666664</v>
      </c>
      <c r="L779" s="6" t="str">
        <f>VLOOKUP(Table1[[#This Row],[average score]],$AE$9:$AF$13,2,TRUE)</f>
        <v>F</v>
      </c>
      <c r="M7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79" s="2" t="str">
        <f>IF(OR(Table1[[#This Row],[math score]]&lt;$AC$5,Table1[[#This Row],[reading score]]&lt;$AC$5,Table1[[#This Row],[writing score]]&lt;$AC$5), "Failed atleast one", "Passed all")</f>
        <v>Failed atleast one</v>
      </c>
      <c r="O779" t="str">
        <f>VLOOKUP(Table1[[#This Row],[average score]],$AE$9:$AG$13,3,TRUE)</f>
        <v>Poor</v>
      </c>
    </row>
    <row r="780" spans="1:15" x14ac:dyDescent="0.2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t="s">
        <v>814</v>
      </c>
      <c r="J780">
        <f>SUM(Table1[[#This Row],[math score]:[writing score]])</f>
        <v>233</v>
      </c>
      <c r="K780" s="1">
        <f>Table1[[#This Row],[total score]]/3</f>
        <v>77.666666666666671</v>
      </c>
      <c r="L780" s="6" t="str">
        <f>VLOOKUP(Table1[[#This Row],[average score]],$AE$9:$AF$13,2,TRUE)</f>
        <v>C</v>
      </c>
      <c r="M7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80" s="2" t="str">
        <f>IF(OR(Table1[[#This Row],[math score]]&lt;$AC$5,Table1[[#This Row],[reading score]]&lt;$AC$5,Table1[[#This Row],[writing score]]&lt;$AC$5), "Failed atleast one", "Passed all")</f>
        <v>Passed all</v>
      </c>
      <c r="O780" t="str">
        <f>VLOOKUP(Table1[[#This Row],[average score]],$AE$9:$AG$13,3,TRUE)</f>
        <v>Satisfactory</v>
      </c>
    </row>
    <row r="781" spans="1:15" x14ac:dyDescent="0.2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t="s">
        <v>815</v>
      </c>
      <c r="J781">
        <f>SUM(Table1[[#This Row],[math score]:[writing score]])</f>
        <v>261</v>
      </c>
      <c r="K781" s="1">
        <f>Table1[[#This Row],[total score]]/3</f>
        <v>87</v>
      </c>
      <c r="L781" s="6" t="str">
        <f>VLOOKUP(Table1[[#This Row],[average score]],$AE$9:$AF$13,2,TRUE)</f>
        <v>B</v>
      </c>
      <c r="M7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81" s="2" t="str">
        <f>IF(OR(Table1[[#This Row],[math score]]&lt;$AC$5,Table1[[#This Row],[reading score]]&lt;$AC$5,Table1[[#This Row],[writing score]]&lt;$AC$5), "Failed atleast one", "Passed all")</f>
        <v>Passed all</v>
      </c>
      <c r="O781" t="str">
        <f>VLOOKUP(Table1[[#This Row],[average score]],$AE$9:$AG$13,3,TRUE)</f>
        <v xml:space="preserve">Good </v>
      </c>
    </row>
    <row r="782" spans="1:15" x14ac:dyDescent="0.2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t="s">
        <v>816</v>
      </c>
      <c r="J782">
        <f>SUM(Table1[[#This Row],[math score]:[writing score]])</f>
        <v>159</v>
      </c>
      <c r="K782" s="1">
        <f>Table1[[#This Row],[total score]]/3</f>
        <v>53</v>
      </c>
      <c r="L782" s="6" t="str">
        <f>VLOOKUP(Table1[[#This Row],[average score]],$AE$9:$AF$13,2,TRUE)</f>
        <v>F</v>
      </c>
      <c r="M7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82" s="2" t="str">
        <f>IF(OR(Table1[[#This Row],[math score]]&lt;$AC$5,Table1[[#This Row],[reading score]]&lt;$AC$5,Table1[[#This Row],[writing score]]&lt;$AC$5), "Failed atleast one", "Passed all")</f>
        <v>Failed atleast one</v>
      </c>
      <c r="O782" t="str">
        <f>VLOOKUP(Table1[[#This Row],[average score]],$AE$9:$AG$13,3,TRUE)</f>
        <v>Poor</v>
      </c>
    </row>
    <row r="783" spans="1:15" x14ac:dyDescent="0.2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t="s">
        <v>817</v>
      </c>
      <c r="J783">
        <f>SUM(Table1[[#This Row],[math score]:[writing score]])</f>
        <v>251</v>
      </c>
      <c r="K783" s="1">
        <f>Table1[[#This Row],[total score]]/3</f>
        <v>83.666666666666671</v>
      </c>
      <c r="L783" s="6" t="str">
        <f>VLOOKUP(Table1[[#This Row],[average score]],$AE$9:$AF$13,2,TRUE)</f>
        <v>B</v>
      </c>
      <c r="M7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83" s="2" t="str">
        <f>IF(OR(Table1[[#This Row],[math score]]&lt;$AC$5,Table1[[#This Row],[reading score]]&lt;$AC$5,Table1[[#This Row],[writing score]]&lt;$AC$5), "Failed atleast one", "Passed all")</f>
        <v>Passed all</v>
      </c>
      <c r="O783" t="str">
        <f>VLOOKUP(Table1[[#This Row],[average score]],$AE$9:$AG$13,3,TRUE)</f>
        <v xml:space="preserve">Good </v>
      </c>
    </row>
    <row r="784" spans="1:15" x14ac:dyDescent="0.2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t="s">
        <v>818</v>
      </c>
      <c r="J784">
        <f>SUM(Table1[[#This Row],[math score]:[writing score]])</f>
        <v>243</v>
      </c>
      <c r="K784" s="1">
        <f>Table1[[#This Row],[total score]]/3</f>
        <v>81</v>
      </c>
      <c r="L784" s="6" t="str">
        <f>VLOOKUP(Table1[[#This Row],[average score]],$AE$9:$AF$13,2,TRUE)</f>
        <v>B</v>
      </c>
      <c r="M7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84" s="2" t="str">
        <f>IF(OR(Table1[[#This Row],[math score]]&lt;$AC$5,Table1[[#This Row],[reading score]]&lt;$AC$5,Table1[[#This Row],[writing score]]&lt;$AC$5), "Failed atleast one", "Passed all")</f>
        <v>Passed all</v>
      </c>
      <c r="O784" t="str">
        <f>VLOOKUP(Table1[[#This Row],[average score]],$AE$9:$AG$13,3,TRUE)</f>
        <v xml:space="preserve">Good </v>
      </c>
    </row>
    <row r="785" spans="1:15" x14ac:dyDescent="0.2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t="s">
        <v>819</v>
      </c>
      <c r="J785">
        <f>SUM(Table1[[#This Row],[math score]:[writing score]])</f>
        <v>173</v>
      </c>
      <c r="K785" s="1">
        <f>Table1[[#This Row],[total score]]/3</f>
        <v>57.666666666666664</v>
      </c>
      <c r="L785" s="6" t="str">
        <f>VLOOKUP(Table1[[#This Row],[average score]],$AE$9:$AF$13,2,TRUE)</f>
        <v>F</v>
      </c>
      <c r="M7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85" s="2" t="str">
        <f>IF(OR(Table1[[#This Row],[math score]]&lt;$AC$5,Table1[[#This Row],[reading score]]&lt;$AC$5,Table1[[#This Row],[writing score]]&lt;$AC$5), "Failed atleast one", "Passed all")</f>
        <v>Failed atleast one</v>
      </c>
      <c r="O785" t="str">
        <f>VLOOKUP(Table1[[#This Row],[average score]],$AE$9:$AG$13,3,TRUE)</f>
        <v>Poor</v>
      </c>
    </row>
    <row r="786" spans="1:15" x14ac:dyDescent="0.2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t="s">
        <v>820</v>
      </c>
      <c r="J786">
        <f>SUM(Table1[[#This Row],[math score]:[writing score]])</f>
        <v>251</v>
      </c>
      <c r="K786" s="1">
        <f>Table1[[#This Row],[total score]]/3</f>
        <v>83.666666666666671</v>
      </c>
      <c r="L786" s="6" t="str">
        <f>VLOOKUP(Table1[[#This Row],[average score]],$AE$9:$AF$13,2,TRUE)</f>
        <v>B</v>
      </c>
      <c r="M7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86" s="2" t="str">
        <f>IF(OR(Table1[[#This Row],[math score]]&lt;$AC$5,Table1[[#This Row],[reading score]]&lt;$AC$5,Table1[[#This Row],[writing score]]&lt;$AC$5), "Failed atleast one", "Passed all")</f>
        <v>Passed all</v>
      </c>
      <c r="O786" t="str">
        <f>VLOOKUP(Table1[[#This Row],[average score]],$AE$9:$AG$13,3,TRUE)</f>
        <v xml:space="preserve">Good </v>
      </c>
    </row>
    <row r="787" spans="1:15" x14ac:dyDescent="0.2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t="s">
        <v>821</v>
      </c>
      <c r="J787">
        <f>SUM(Table1[[#This Row],[math score]:[writing score]])</f>
        <v>127</v>
      </c>
      <c r="K787" s="1">
        <f>Table1[[#This Row],[total score]]/3</f>
        <v>42.333333333333336</v>
      </c>
      <c r="L787" s="6" t="str">
        <f>VLOOKUP(Table1[[#This Row],[average score]],$AE$9:$AF$13,2,TRUE)</f>
        <v>F</v>
      </c>
      <c r="M7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87" s="2" t="str">
        <f>IF(OR(Table1[[#This Row],[math score]]&lt;$AC$5,Table1[[#This Row],[reading score]]&lt;$AC$5,Table1[[#This Row],[writing score]]&lt;$AC$5), "Failed atleast one", "Passed all")</f>
        <v>Failed atleast one</v>
      </c>
      <c r="O787" t="str">
        <f>VLOOKUP(Table1[[#This Row],[average score]],$AE$9:$AG$13,3,TRUE)</f>
        <v>Poor</v>
      </c>
    </row>
    <row r="788" spans="1:15" x14ac:dyDescent="0.2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t="s">
        <v>822</v>
      </c>
      <c r="J788">
        <f>SUM(Table1[[#This Row],[math score]:[writing score]])</f>
        <v>228</v>
      </c>
      <c r="K788" s="1">
        <f>Table1[[#This Row],[total score]]/3</f>
        <v>76</v>
      </c>
      <c r="L788" s="6" t="str">
        <f>VLOOKUP(Table1[[#This Row],[average score]],$AE$9:$AF$13,2,TRUE)</f>
        <v>C</v>
      </c>
      <c r="M7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88" s="2" t="str">
        <f>IF(OR(Table1[[#This Row],[math score]]&lt;$AC$5,Table1[[#This Row],[reading score]]&lt;$AC$5,Table1[[#This Row],[writing score]]&lt;$AC$5), "Failed atleast one", "Passed all")</f>
        <v>Passed all</v>
      </c>
      <c r="O788" t="str">
        <f>VLOOKUP(Table1[[#This Row],[average score]],$AE$9:$AG$13,3,TRUE)</f>
        <v>Satisfactory</v>
      </c>
    </row>
    <row r="789" spans="1:15" x14ac:dyDescent="0.2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t="s">
        <v>823</v>
      </c>
      <c r="J789">
        <f>SUM(Table1[[#This Row],[math score]:[writing score]])</f>
        <v>89</v>
      </c>
      <c r="K789" s="1">
        <f>Table1[[#This Row],[total score]]/3</f>
        <v>29.666666666666668</v>
      </c>
      <c r="L789" s="6" t="str">
        <f>VLOOKUP(Table1[[#This Row],[average score]],$AE$9:$AF$13,2,TRUE)</f>
        <v>F</v>
      </c>
      <c r="M7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89" s="2" t="str">
        <f>IF(OR(Table1[[#This Row],[math score]]&lt;$AC$5,Table1[[#This Row],[reading score]]&lt;$AC$5,Table1[[#This Row],[writing score]]&lt;$AC$5), "Failed atleast one", "Passed all")</f>
        <v>Failed atleast one</v>
      </c>
      <c r="O789" t="str">
        <f>VLOOKUP(Table1[[#This Row],[average score]],$AE$9:$AG$13,3,TRUE)</f>
        <v>Poor</v>
      </c>
    </row>
    <row r="790" spans="1:15" x14ac:dyDescent="0.2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t="s">
        <v>824</v>
      </c>
      <c r="J790">
        <f>SUM(Table1[[#This Row],[math score]:[writing score]])</f>
        <v>194</v>
      </c>
      <c r="K790" s="1">
        <f>Table1[[#This Row],[total score]]/3</f>
        <v>64.666666666666671</v>
      </c>
      <c r="L790" s="6" t="str">
        <f>VLOOKUP(Table1[[#This Row],[average score]],$AE$9:$AF$13,2,TRUE)</f>
        <v>D</v>
      </c>
      <c r="M7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90" s="2" t="str">
        <f>IF(OR(Table1[[#This Row],[math score]]&lt;$AC$5,Table1[[#This Row],[reading score]]&lt;$AC$5,Table1[[#This Row],[writing score]]&lt;$AC$5), "Failed atleast one", "Passed all")</f>
        <v>Passed all</v>
      </c>
      <c r="O790" t="str">
        <f>VLOOKUP(Table1[[#This Row],[average score]],$AE$9:$AG$13,3,TRUE)</f>
        <v>Needs improvements</v>
      </c>
    </row>
    <row r="791" spans="1:15" x14ac:dyDescent="0.2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t="s">
        <v>825</v>
      </c>
      <c r="J791">
        <f>SUM(Table1[[#This Row],[math score]:[writing score]])</f>
        <v>178</v>
      </c>
      <c r="K791" s="1">
        <f>Table1[[#This Row],[total score]]/3</f>
        <v>59.333333333333336</v>
      </c>
      <c r="L791" s="6" t="str">
        <f>VLOOKUP(Table1[[#This Row],[average score]],$AE$9:$AF$13,2,TRUE)</f>
        <v>F</v>
      </c>
      <c r="M7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91" s="2" t="str">
        <f>IF(OR(Table1[[#This Row],[math score]]&lt;$AC$5,Table1[[#This Row],[reading score]]&lt;$AC$5,Table1[[#This Row],[writing score]]&lt;$AC$5), "Failed atleast one", "Passed all")</f>
        <v>Failed atleast one</v>
      </c>
      <c r="O791" t="str">
        <f>VLOOKUP(Table1[[#This Row],[average score]],$AE$9:$AG$13,3,TRUE)</f>
        <v>Poor</v>
      </c>
    </row>
    <row r="792" spans="1:15" x14ac:dyDescent="0.2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t="s">
        <v>826</v>
      </c>
      <c r="J792">
        <f>SUM(Table1[[#This Row],[math score]:[writing score]])</f>
        <v>170</v>
      </c>
      <c r="K792" s="1">
        <f>Table1[[#This Row],[total score]]/3</f>
        <v>56.666666666666664</v>
      </c>
      <c r="L792" s="6" t="str">
        <f>VLOOKUP(Table1[[#This Row],[average score]],$AE$9:$AF$13,2,TRUE)</f>
        <v>F</v>
      </c>
      <c r="M7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92" s="2" t="str">
        <f>IF(OR(Table1[[#This Row],[math score]]&lt;$AC$5,Table1[[#This Row],[reading score]]&lt;$AC$5,Table1[[#This Row],[writing score]]&lt;$AC$5), "Failed atleast one", "Passed all")</f>
        <v>Failed atleast one</v>
      </c>
      <c r="O792" t="str">
        <f>VLOOKUP(Table1[[#This Row],[average score]],$AE$9:$AG$13,3,TRUE)</f>
        <v>Poor</v>
      </c>
    </row>
    <row r="793" spans="1:15" x14ac:dyDescent="0.2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t="s">
        <v>827</v>
      </c>
      <c r="J793">
        <f>SUM(Table1[[#This Row],[math score]:[writing score]])</f>
        <v>196</v>
      </c>
      <c r="K793" s="1">
        <f>Table1[[#This Row],[total score]]/3</f>
        <v>65.333333333333329</v>
      </c>
      <c r="L793" s="6" t="str">
        <f>VLOOKUP(Table1[[#This Row],[average score]],$AE$9:$AF$13,2,TRUE)</f>
        <v>D</v>
      </c>
      <c r="M7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93" s="2" t="str">
        <f>IF(OR(Table1[[#This Row],[math score]]&lt;$AC$5,Table1[[#This Row],[reading score]]&lt;$AC$5,Table1[[#This Row],[writing score]]&lt;$AC$5), "Failed atleast one", "Passed all")</f>
        <v>Passed all</v>
      </c>
      <c r="O793" t="str">
        <f>VLOOKUP(Table1[[#This Row],[average score]],$AE$9:$AG$13,3,TRUE)</f>
        <v>Needs improvements</v>
      </c>
    </row>
    <row r="794" spans="1:15" x14ac:dyDescent="0.2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t="s">
        <v>828</v>
      </c>
      <c r="J794">
        <f>SUM(Table1[[#This Row],[math score]:[writing score]])</f>
        <v>209</v>
      </c>
      <c r="K794" s="1">
        <f>Table1[[#This Row],[total score]]/3</f>
        <v>69.666666666666671</v>
      </c>
      <c r="L794" s="6" t="str">
        <f>VLOOKUP(Table1[[#This Row],[average score]],$AE$9:$AF$13,2,TRUE)</f>
        <v>D</v>
      </c>
      <c r="M7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94" s="2" t="str">
        <f>IF(OR(Table1[[#This Row],[math score]]&lt;$AC$5,Table1[[#This Row],[reading score]]&lt;$AC$5,Table1[[#This Row],[writing score]]&lt;$AC$5), "Failed atleast one", "Passed all")</f>
        <v>Passed all</v>
      </c>
      <c r="O794" t="str">
        <f>VLOOKUP(Table1[[#This Row],[average score]],$AE$9:$AG$13,3,TRUE)</f>
        <v>Needs improvements</v>
      </c>
    </row>
    <row r="795" spans="1:15" x14ac:dyDescent="0.2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t="s">
        <v>829</v>
      </c>
      <c r="J795">
        <f>SUM(Table1[[#This Row],[math score]:[writing score]])</f>
        <v>250</v>
      </c>
      <c r="K795" s="1">
        <f>Table1[[#This Row],[total score]]/3</f>
        <v>83.333333333333329</v>
      </c>
      <c r="L795" s="6" t="str">
        <f>VLOOKUP(Table1[[#This Row],[average score]],$AE$9:$AF$13,2,TRUE)</f>
        <v>B</v>
      </c>
      <c r="M7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795" s="2" t="str">
        <f>IF(OR(Table1[[#This Row],[math score]]&lt;$AC$5,Table1[[#This Row],[reading score]]&lt;$AC$5,Table1[[#This Row],[writing score]]&lt;$AC$5), "Failed atleast one", "Passed all")</f>
        <v>Passed all</v>
      </c>
      <c r="O795" t="str">
        <f>VLOOKUP(Table1[[#This Row],[average score]],$AE$9:$AG$13,3,TRUE)</f>
        <v xml:space="preserve">Good </v>
      </c>
    </row>
    <row r="796" spans="1:15" x14ac:dyDescent="0.2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t="s">
        <v>830</v>
      </c>
      <c r="J796">
        <f>SUM(Table1[[#This Row],[math score]:[writing score]])</f>
        <v>145</v>
      </c>
      <c r="K796" s="1">
        <f>Table1[[#This Row],[total score]]/3</f>
        <v>48.333333333333336</v>
      </c>
      <c r="L796" s="6" t="str">
        <f>VLOOKUP(Table1[[#This Row],[average score]],$AE$9:$AF$13,2,TRUE)</f>
        <v>F</v>
      </c>
      <c r="M7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796" s="2" t="str">
        <f>IF(OR(Table1[[#This Row],[math score]]&lt;$AC$5,Table1[[#This Row],[reading score]]&lt;$AC$5,Table1[[#This Row],[writing score]]&lt;$AC$5), "Failed atleast one", "Passed all")</f>
        <v>Failed atleast one</v>
      </c>
      <c r="O796" t="str">
        <f>VLOOKUP(Table1[[#This Row],[average score]],$AE$9:$AG$13,3,TRUE)</f>
        <v>Poor</v>
      </c>
    </row>
    <row r="797" spans="1:15" x14ac:dyDescent="0.2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t="s">
        <v>831</v>
      </c>
      <c r="J797">
        <f>SUM(Table1[[#This Row],[math score]:[writing score]])</f>
        <v>198</v>
      </c>
      <c r="K797" s="1">
        <f>Table1[[#This Row],[total score]]/3</f>
        <v>66</v>
      </c>
      <c r="L797" s="6" t="str">
        <f>VLOOKUP(Table1[[#This Row],[average score]],$AE$9:$AF$13,2,TRUE)</f>
        <v>D</v>
      </c>
      <c r="M7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797" s="2" t="str">
        <f>IF(OR(Table1[[#This Row],[math score]]&lt;$AC$5,Table1[[#This Row],[reading score]]&lt;$AC$5,Table1[[#This Row],[writing score]]&lt;$AC$5), "Failed atleast one", "Passed all")</f>
        <v>Failed atleast one</v>
      </c>
      <c r="O797" t="str">
        <f>VLOOKUP(Table1[[#This Row],[average score]],$AE$9:$AG$13,3,TRUE)</f>
        <v>Needs improvements</v>
      </c>
    </row>
    <row r="798" spans="1:15" x14ac:dyDescent="0.2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t="s">
        <v>832</v>
      </c>
      <c r="J798">
        <f>SUM(Table1[[#This Row],[math score]:[writing score]])</f>
        <v>210</v>
      </c>
      <c r="K798" s="1">
        <f>Table1[[#This Row],[total score]]/3</f>
        <v>70</v>
      </c>
      <c r="L798" s="6" t="str">
        <f>VLOOKUP(Table1[[#This Row],[average score]],$AE$9:$AF$13,2,TRUE)</f>
        <v>C</v>
      </c>
      <c r="M7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98" s="2" t="str">
        <f>IF(OR(Table1[[#This Row],[math score]]&lt;$AC$5,Table1[[#This Row],[reading score]]&lt;$AC$5,Table1[[#This Row],[writing score]]&lt;$AC$5), "Failed atleast one", "Passed all")</f>
        <v>Passed all</v>
      </c>
      <c r="O798" t="str">
        <f>VLOOKUP(Table1[[#This Row],[average score]],$AE$9:$AG$13,3,TRUE)</f>
        <v>Satisfactory</v>
      </c>
    </row>
    <row r="799" spans="1:15" x14ac:dyDescent="0.2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t="s">
        <v>833</v>
      </c>
      <c r="J799">
        <f>SUM(Table1[[#This Row],[math score]:[writing score]])</f>
        <v>235</v>
      </c>
      <c r="K799" s="1">
        <f>Table1[[#This Row],[total score]]/3</f>
        <v>78.333333333333329</v>
      </c>
      <c r="L799" s="6" t="str">
        <f>VLOOKUP(Table1[[#This Row],[average score]],$AE$9:$AF$13,2,TRUE)</f>
        <v>C</v>
      </c>
      <c r="M7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799" s="2" t="str">
        <f>IF(OR(Table1[[#This Row],[math score]]&lt;$AC$5,Table1[[#This Row],[reading score]]&lt;$AC$5,Table1[[#This Row],[writing score]]&lt;$AC$5), "Failed atleast one", "Passed all")</f>
        <v>Passed all</v>
      </c>
      <c r="O799" t="str">
        <f>VLOOKUP(Table1[[#This Row],[average score]],$AE$9:$AG$13,3,TRUE)</f>
        <v>Satisfactory</v>
      </c>
    </row>
    <row r="800" spans="1:15" x14ac:dyDescent="0.2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t="s">
        <v>834</v>
      </c>
      <c r="J800">
        <f>SUM(Table1[[#This Row],[math score]:[writing score]])</f>
        <v>183</v>
      </c>
      <c r="K800" s="1">
        <f>Table1[[#This Row],[total score]]/3</f>
        <v>61</v>
      </c>
      <c r="L800" s="6" t="str">
        <f>VLOOKUP(Table1[[#This Row],[average score]],$AE$9:$AF$13,2,TRUE)</f>
        <v>D</v>
      </c>
      <c r="M8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00" s="2" t="str">
        <f>IF(OR(Table1[[#This Row],[math score]]&lt;$AC$5,Table1[[#This Row],[reading score]]&lt;$AC$5,Table1[[#This Row],[writing score]]&lt;$AC$5), "Failed atleast one", "Passed all")</f>
        <v>Failed atleast one</v>
      </c>
      <c r="O800" t="str">
        <f>VLOOKUP(Table1[[#This Row],[average score]],$AE$9:$AG$13,3,TRUE)</f>
        <v>Needs improvements</v>
      </c>
    </row>
    <row r="801" spans="1:15" x14ac:dyDescent="0.2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t="s">
        <v>835</v>
      </c>
      <c r="J801">
        <f>SUM(Table1[[#This Row],[math score]:[writing score]])</f>
        <v>164</v>
      </c>
      <c r="K801" s="1">
        <f>Table1[[#This Row],[total score]]/3</f>
        <v>54.666666666666664</v>
      </c>
      <c r="L801" s="6" t="str">
        <f>VLOOKUP(Table1[[#This Row],[average score]],$AE$9:$AF$13,2,TRUE)</f>
        <v>F</v>
      </c>
      <c r="M8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01" s="2" t="str">
        <f>IF(OR(Table1[[#This Row],[math score]]&lt;$AC$5,Table1[[#This Row],[reading score]]&lt;$AC$5,Table1[[#This Row],[writing score]]&lt;$AC$5), "Failed atleast one", "Passed all")</f>
        <v>Failed atleast one</v>
      </c>
      <c r="O801" t="str">
        <f>VLOOKUP(Table1[[#This Row],[average score]],$AE$9:$AG$13,3,TRUE)</f>
        <v>Poor</v>
      </c>
    </row>
    <row r="802" spans="1:15" x14ac:dyDescent="0.2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t="s">
        <v>836</v>
      </c>
      <c r="J802">
        <f>SUM(Table1[[#This Row],[math score]:[writing score]])</f>
        <v>208</v>
      </c>
      <c r="K802" s="1">
        <f>Table1[[#This Row],[total score]]/3</f>
        <v>69.333333333333329</v>
      </c>
      <c r="L802" s="6" t="str">
        <f>VLOOKUP(Table1[[#This Row],[average score]],$AE$9:$AF$13,2,TRUE)</f>
        <v>D</v>
      </c>
      <c r="M8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02" s="2" t="str">
        <f>IF(OR(Table1[[#This Row],[math score]]&lt;$AC$5,Table1[[#This Row],[reading score]]&lt;$AC$5,Table1[[#This Row],[writing score]]&lt;$AC$5), "Failed atleast one", "Passed all")</f>
        <v>Passed all</v>
      </c>
      <c r="O802" t="str">
        <f>VLOOKUP(Table1[[#This Row],[average score]],$AE$9:$AG$13,3,TRUE)</f>
        <v>Needs improvements</v>
      </c>
    </row>
    <row r="803" spans="1:15" x14ac:dyDescent="0.2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t="s">
        <v>837</v>
      </c>
      <c r="J803">
        <f>SUM(Table1[[#This Row],[math score]:[writing score]])</f>
        <v>229</v>
      </c>
      <c r="K803" s="1">
        <f>Table1[[#This Row],[total score]]/3</f>
        <v>76.333333333333329</v>
      </c>
      <c r="L803" s="6" t="str">
        <f>VLOOKUP(Table1[[#This Row],[average score]],$AE$9:$AF$13,2,TRUE)</f>
        <v>C</v>
      </c>
      <c r="M8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03" s="2" t="str">
        <f>IF(OR(Table1[[#This Row],[math score]]&lt;$AC$5,Table1[[#This Row],[reading score]]&lt;$AC$5,Table1[[#This Row],[writing score]]&lt;$AC$5), "Failed atleast one", "Passed all")</f>
        <v>Passed all</v>
      </c>
      <c r="O803" t="str">
        <f>VLOOKUP(Table1[[#This Row],[average score]],$AE$9:$AG$13,3,TRUE)</f>
        <v>Satisfactory</v>
      </c>
    </row>
    <row r="804" spans="1:15" x14ac:dyDescent="0.2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t="s">
        <v>838</v>
      </c>
      <c r="J804">
        <f>SUM(Table1[[#This Row],[math score]:[writing score]])</f>
        <v>276</v>
      </c>
      <c r="K804" s="1">
        <f>Table1[[#This Row],[total score]]/3</f>
        <v>92</v>
      </c>
      <c r="L804" s="6" t="str">
        <f>VLOOKUP(Table1[[#This Row],[average score]],$AE$9:$AF$13,2,TRUE)</f>
        <v>A</v>
      </c>
      <c r="M8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804" s="2" t="str">
        <f>IF(OR(Table1[[#This Row],[math score]]&lt;$AC$5,Table1[[#This Row],[reading score]]&lt;$AC$5,Table1[[#This Row],[writing score]]&lt;$AC$5), "Failed atleast one", "Passed all")</f>
        <v>Passed all</v>
      </c>
      <c r="O804" t="str">
        <f>VLOOKUP(Table1[[#This Row],[average score]],$AE$9:$AG$13,3,TRUE)</f>
        <v>Outstanding</v>
      </c>
    </row>
    <row r="805" spans="1:15" x14ac:dyDescent="0.2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t="s">
        <v>839</v>
      </c>
      <c r="J805">
        <f>SUM(Table1[[#This Row],[math score]:[writing score]])</f>
        <v>254</v>
      </c>
      <c r="K805" s="1">
        <f>Table1[[#This Row],[total score]]/3</f>
        <v>84.666666666666671</v>
      </c>
      <c r="L805" s="6" t="str">
        <f>VLOOKUP(Table1[[#This Row],[average score]],$AE$9:$AF$13,2,TRUE)</f>
        <v>B</v>
      </c>
      <c r="M8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05" s="2" t="str">
        <f>IF(OR(Table1[[#This Row],[math score]]&lt;$AC$5,Table1[[#This Row],[reading score]]&lt;$AC$5,Table1[[#This Row],[writing score]]&lt;$AC$5), "Failed atleast one", "Passed all")</f>
        <v>Passed all</v>
      </c>
      <c r="O805" t="str">
        <f>VLOOKUP(Table1[[#This Row],[average score]],$AE$9:$AG$13,3,TRUE)</f>
        <v xml:space="preserve">Good </v>
      </c>
    </row>
    <row r="806" spans="1:15" x14ac:dyDescent="0.2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t="s">
        <v>840</v>
      </c>
      <c r="J806">
        <f>SUM(Table1[[#This Row],[math score]:[writing score]])</f>
        <v>227</v>
      </c>
      <c r="K806" s="1">
        <f>Table1[[#This Row],[total score]]/3</f>
        <v>75.666666666666671</v>
      </c>
      <c r="L806" s="6" t="str">
        <f>VLOOKUP(Table1[[#This Row],[average score]],$AE$9:$AF$13,2,TRUE)</f>
        <v>C</v>
      </c>
      <c r="M8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06" s="2" t="str">
        <f>IF(OR(Table1[[#This Row],[math score]]&lt;$AC$5,Table1[[#This Row],[reading score]]&lt;$AC$5,Table1[[#This Row],[writing score]]&lt;$AC$5), "Failed atleast one", "Passed all")</f>
        <v>Passed all</v>
      </c>
      <c r="O806" t="str">
        <f>VLOOKUP(Table1[[#This Row],[average score]],$AE$9:$AG$13,3,TRUE)</f>
        <v>Satisfactory</v>
      </c>
    </row>
    <row r="807" spans="1:15" x14ac:dyDescent="0.2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t="s">
        <v>841</v>
      </c>
      <c r="J807">
        <f>SUM(Table1[[#This Row],[math score]:[writing score]])</f>
        <v>230</v>
      </c>
      <c r="K807" s="1">
        <f>Table1[[#This Row],[total score]]/3</f>
        <v>76.666666666666671</v>
      </c>
      <c r="L807" s="6" t="str">
        <f>VLOOKUP(Table1[[#This Row],[average score]],$AE$9:$AF$13,2,TRUE)</f>
        <v>C</v>
      </c>
      <c r="M8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07" s="2" t="str">
        <f>IF(OR(Table1[[#This Row],[math score]]&lt;$AC$5,Table1[[#This Row],[reading score]]&lt;$AC$5,Table1[[#This Row],[writing score]]&lt;$AC$5), "Failed atleast one", "Passed all")</f>
        <v>Passed all</v>
      </c>
      <c r="O807" t="str">
        <f>VLOOKUP(Table1[[#This Row],[average score]],$AE$9:$AG$13,3,TRUE)</f>
        <v>Satisfactory</v>
      </c>
    </row>
    <row r="808" spans="1:15" x14ac:dyDescent="0.2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t="s">
        <v>842</v>
      </c>
      <c r="J808">
        <f>SUM(Table1[[#This Row],[math score]:[writing score]])</f>
        <v>213</v>
      </c>
      <c r="K808" s="1">
        <f>Table1[[#This Row],[total score]]/3</f>
        <v>71</v>
      </c>
      <c r="L808" s="6" t="str">
        <f>VLOOKUP(Table1[[#This Row],[average score]],$AE$9:$AF$13,2,TRUE)</f>
        <v>C</v>
      </c>
      <c r="M8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08" s="2" t="str">
        <f>IF(OR(Table1[[#This Row],[math score]]&lt;$AC$5,Table1[[#This Row],[reading score]]&lt;$AC$5,Table1[[#This Row],[writing score]]&lt;$AC$5), "Failed atleast one", "Passed all")</f>
        <v>Passed all</v>
      </c>
      <c r="O808" t="str">
        <f>VLOOKUP(Table1[[#This Row],[average score]],$AE$9:$AG$13,3,TRUE)</f>
        <v>Satisfactory</v>
      </c>
    </row>
    <row r="809" spans="1:15" x14ac:dyDescent="0.2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t="s">
        <v>843</v>
      </c>
      <c r="J809">
        <f>SUM(Table1[[#This Row],[math score]:[writing score]])</f>
        <v>126</v>
      </c>
      <c r="K809" s="1">
        <f>Table1[[#This Row],[total score]]/3</f>
        <v>42</v>
      </c>
      <c r="L809" s="6" t="str">
        <f>VLOOKUP(Table1[[#This Row],[average score]],$AE$9:$AF$13,2,TRUE)</f>
        <v>F</v>
      </c>
      <c r="M8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09" s="2" t="str">
        <f>IF(OR(Table1[[#This Row],[math score]]&lt;$AC$5,Table1[[#This Row],[reading score]]&lt;$AC$5,Table1[[#This Row],[writing score]]&lt;$AC$5), "Failed atleast one", "Passed all")</f>
        <v>Failed atleast one</v>
      </c>
      <c r="O809" t="str">
        <f>VLOOKUP(Table1[[#This Row],[average score]],$AE$9:$AG$13,3,TRUE)</f>
        <v>Poor</v>
      </c>
    </row>
    <row r="810" spans="1:15" x14ac:dyDescent="0.2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t="s">
        <v>844</v>
      </c>
      <c r="J810">
        <f>SUM(Table1[[#This Row],[math score]:[writing score]])</f>
        <v>234</v>
      </c>
      <c r="K810" s="1">
        <f>Table1[[#This Row],[total score]]/3</f>
        <v>78</v>
      </c>
      <c r="L810" s="6" t="str">
        <f>VLOOKUP(Table1[[#This Row],[average score]],$AE$9:$AF$13,2,TRUE)</f>
        <v>C</v>
      </c>
      <c r="M8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10" s="2" t="str">
        <f>IF(OR(Table1[[#This Row],[math score]]&lt;$AC$5,Table1[[#This Row],[reading score]]&lt;$AC$5,Table1[[#This Row],[writing score]]&lt;$AC$5), "Failed atleast one", "Passed all")</f>
        <v>Passed all</v>
      </c>
      <c r="O810" t="str">
        <f>VLOOKUP(Table1[[#This Row],[average score]],$AE$9:$AG$13,3,TRUE)</f>
        <v>Satisfactory</v>
      </c>
    </row>
    <row r="811" spans="1:15" x14ac:dyDescent="0.2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t="s">
        <v>845</v>
      </c>
      <c r="J811">
        <f>SUM(Table1[[#This Row],[math score]:[writing score]])</f>
        <v>164</v>
      </c>
      <c r="K811" s="1">
        <f>Table1[[#This Row],[total score]]/3</f>
        <v>54.666666666666664</v>
      </c>
      <c r="L811" s="6" t="str">
        <f>VLOOKUP(Table1[[#This Row],[average score]],$AE$9:$AF$13,2,TRUE)</f>
        <v>F</v>
      </c>
      <c r="M8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11" s="2" t="str">
        <f>IF(OR(Table1[[#This Row],[math score]]&lt;$AC$5,Table1[[#This Row],[reading score]]&lt;$AC$5,Table1[[#This Row],[writing score]]&lt;$AC$5), "Failed atleast one", "Passed all")</f>
        <v>Failed atleast one</v>
      </c>
      <c r="O811" t="str">
        <f>VLOOKUP(Table1[[#This Row],[average score]],$AE$9:$AG$13,3,TRUE)</f>
        <v>Poor</v>
      </c>
    </row>
    <row r="812" spans="1:15" x14ac:dyDescent="0.2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t="s">
        <v>846</v>
      </c>
      <c r="J812">
        <f>SUM(Table1[[#This Row],[math score]:[writing score]])</f>
        <v>118</v>
      </c>
      <c r="K812" s="1">
        <f>Table1[[#This Row],[total score]]/3</f>
        <v>39.333333333333336</v>
      </c>
      <c r="L812" s="6" t="str">
        <f>VLOOKUP(Table1[[#This Row],[average score]],$AE$9:$AF$13,2,TRUE)</f>
        <v>F</v>
      </c>
      <c r="M8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12" s="2" t="str">
        <f>IF(OR(Table1[[#This Row],[math score]]&lt;$AC$5,Table1[[#This Row],[reading score]]&lt;$AC$5,Table1[[#This Row],[writing score]]&lt;$AC$5), "Failed atleast one", "Passed all")</f>
        <v>Failed atleast one</v>
      </c>
      <c r="O812" t="str">
        <f>VLOOKUP(Table1[[#This Row],[average score]],$AE$9:$AG$13,3,TRUE)</f>
        <v>Poor</v>
      </c>
    </row>
    <row r="813" spans="1:15" x14ac:dyDescent="0.2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t="s">
        <v>847</v>
      </c>
      <c r="J813">
        <f>SUM(Table1[[#This Row],[math score]:[writing score]])</f>
        <v>141</v>
      </c>
      <c r="K813" s="1">
        <f>Table1[[#This Row],[total score]]/3</f>
        <v>47</v>
      </c>
      <c r="L813" s="6" t="str">
        <f>VLOOKUP(Table1[[#This Row],[average score]],$AE$9:$AF$13,2,TRUE)</f>
        <v>F</v>
      </c>
      <c r="M8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13" s="2" t="str">
        <f>IF(OR(Table1[[#This Row],[math score]]&lt;$AC$5,Table1[[#This Row],[reading score]]&lt;$AC$5,Table1[[#This Row],[writing score]]&lt;$AC$5), "Failed atleast one", "Passed all")</f>
        <v>Failed atleast one</v>
      </c>
      <c r="O813" t="str">
        <f>VLOOKUP(Table1[[#This Row],[average score]],$AE$9:$AG$13,3,TRUE)</f>
        <v>Poor</v>
      </c>
    </row>
    <row r="814" spans="1:15" x14ac:dyDescent="0.2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t="s">
        <v>848</v>
      </c>
      <c r="J814">
        <f>SUM(Table1[[#This Row],[math score]:[writing score]])</f>
        <v>185</v>
      </c>
      <c r="K814" s="1">
        <f>Table1[[#This Row],[total score]]/3</f>
        <v>61.666666666666664</v>
      </c>
      <c r="L814" s="6" t="str">
        <f>VLOOKUP(Table1[[#This Row],[average score]],$AE$9:$AF$13,2,TRUE)</f>
        <v>D</v>
      </c>
      <c r="M8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14" s="2" t="str">
        <f>IF(OR(Table1[[#This Row],[math score]]&lt;$AC$5,Table1[[#This Row],[reading score]]&lt;$AC$5,Table1[[#This Row],[writing score]]&lt;$AC$5), "Failed atleast one", "Passed all")</f>
        <v>Failed atleast one</v>
      </c>
      <c r="O814" t="str">
        <f>VLOOKUP(Table1[[#This Row],[average score]],$AE$9:$AG$13,3,TRUE)</f>
        <v>Needs improvements</v>
      </c>
    </row>
    <row r="815" spans="1:15" x14ac:dyDescent="0.2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t="s">
        <v>849</v>
      </c>
      <c r="J815">
        <f>SUM(Table1[[#This Row],[math score]:[writing score]])</f>
        <v>247</v>
      </c>
      <c r="K815" s="1">
        <f>Table1[[#This Row],[total score]]/3</f>
        <v>82.333333333333329</v>
      </c>
      <c r="L815" s="6" t="str">
        <f>VLOOKUP(Table1[[#This Row],[average score]],$AE$9:$AF$13,2,TRUE)</f>
        <v>B</v>
      </c>
      <c r="M8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15" s="2" t="str">
        <f>IF(OR(Table1[[#This Row],[math score]]&lt;$AC$5,Table1[[#This Row],[reading score]]&lt;$AC$5,Table1[[#This Row],[writing score]]&lt;$AC$5), "Failed atleast one", "Passed all")</f>
        <v>Passed all</v>
      </c>
      <c r="O815" t="str">
        <f>VLOOKUP(Table1[[#This Row],[average score]],$AE$9:$AG$13,3,TRUE)</f>
        <v xml:space="preserve">Good </v>
      </c>
    </row>
    <row r="816" spans="1:15" x14ac:dyDescent="0.2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t="s">
        <v>850</v>
      </c>
      <c r="J816">
        <f>SUM(Table1[[#This Row],[math score]:[writing score]])</f>
        <v>235</v>
      </c>
      <c r="K816" s="1">
        <f>Table1[[#This Row],[total score]]/3</f>
        <v>78.333333333333329</v>
      </c>
      <c r="L816" s="6" t="str">
        <f>VLOOKUP(Table1[[#This Row],[average score]],$AE$9:$AF$13,2,TRUE)</f>
        <v>C</v>
      </c>
      <c r="M8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16" s="2" t="str">
        <f>IF(OR(Table1[[#This Row],[math score]]&lt;$AC$5,Table1[[#This Row],[reading score]]&lt;$AC$5,Table1[[#This Row],[writing score]]&lt;$AC$5), "Failed atleast one", "Passed all")</f>
        <v>Passed all</v>
      </c>
      <c r="O816" t="str">
        <f>VLOOKUP(Table1[[#This Row],[average score]],$AE$9:$AG$13,3,TRUE)</f>
        <v>Satisfactory</v>
      </c>
    </row>
    <row r="817" spans="1:15" x14ac:dyDescent="0.2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t="s">
        <v>851</v>
      </c>
      <c r="J817">
        <f>SUM(Table1[[#This Row],[math score]:[writing score]])</f>
        <v>267</v>
      </c>
      <c r="K817" s="1">
        <f>Table1[[#This Row],[total score]]/3</f>
        <v>89</v>
      </c>
      <c r="L817" s="6" t="str">
        <f>VLOOKUP(Table1[[#This Row],[average score]],$AE$9:$AF$13,2,TRUE)</f>
        <v>B</v>
      </c>
      <c r="M8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17" s="2" t="str">
        <f>IF(OR(Table1[[#This Row],[math score]]&lt;$AC$5,Table1[[#This Row],[reading score]]&lt;$AC$5,Table1[[#This Row],[writing score]]&lt;$AC$5), "Failed atleast one", "Passed all")</f>
        <v>Passed all</v>
      </c>
      <c r="O817" t="str">
        <f>VLOOKUP(Table1[[#This Row],[average score]],$AE$9:$AG$13,3,TRUE)</f>
        <v xml:space="preserve">Good </v>
      </c>
    </row>
    <row r="818" spans="1:15" x14ac:dyDescent="0.2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t="s">
        <v>852</v>
      </c>
      <c r="J818">
        <f>SUM(Table1[[#This Row],[math score]:[writing score]])</f>
        <v>168</v>
      </c>
      <c r="K818" s="1">
        <f>Table1[[#This Row],[total score]]/3</f>
        <v>56</v>
      </c>
      <c r="L818" s="6" t="str">
        <f>VLOOKUP(Table1[[#This Row],[average score]],$AE$9:$AF$13,2,TRUE)</f>
        <v>F</v>
      </c>
      <c r="M8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18" s="2" t="str">
        <f>IF(OR(Table1[[#This Row],[math score]]&lt;$AC$5,Table1[[#This Row],[reading score]]&lt;$AC$5,Table1[[#This Row],[writing score]]&lt;$AC$5), "Failed atleast one", "Passed all")</f>
        <v>Failed atleast one</v>
      </c>
      <c r="O818" t="str">
        <f>VLOOKUP(Table1[[#This Row],[average score]],$AE$9:$AG$13,3,TRUE)</f>
        <v>Poor</v>
      </c>
    </row>
    <row r="819" spans="1:15" x14ac:dyDescent="0.2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t="s">
        <v>853</v>
      </c>
      <c r="J819">
        <f>SUM(Table1[[#This Row],[math score]:[writing score]])</f>
        <v>207</v>
      </c>
      <c r="K819" s="1">
        <f>Table1[[#This Row],[total score]]/3</f>
        <v>69</v>
      </c>
      <c r="L819" s="6" t="str">
        <f>VLOOKUP(Table1[[#This Row],[average score]],$AE$9:$AF$13,2,TRUE)</f>
        <v>D</v>
      </c>
      <c r="M8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19" s="2" t="str">
        <f>IF(OR(Table1[[#This Row],[math score]]&lt;$AC$5,Table1[[#This Row],[reading score]]&lt;$AC$5,Table1[[#This Row],[writing score]]&lt;$AC$5), "Failed atleast one", "Passed all")</f>
        <v>Passed all</v>
      </c>
      <c r="O819" t="str">
        <f>VLOOKUP(Table1[[#This Row],[average score]],$AE$9:$AG$13,3,TRUE)</f>
        <v>Needs improvements</v>
      </c>
    </row>
    <row r="820" spans="1:15" x14ac:dyDescent="0.2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t="s">
        <v>854</v>
      </c>
      <c r="J820">
        <f>SUM(Table1[[#This Row],[math score]:[writing score]])</f>
        <v>200</v>
      </c>
      <c r="K820" s="1">
        <f>Table1[[#This Row],[total score]]/3</f>
        <v>66.666666666666671</v>
      </c>
      <c r="L820" s="6" t="str">
        <f>VLOOKUP(Table1[[#This Row],[average score]],$AE$9:$AF$13,2,TRUE)</f>
        <v>D</v>
      </c>
      <c r="M8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20" s="2" t="str">
        <f>IF(OR(Table1[[#This Row],[math score]]&lt;$AC$5,Table1[[#This Row],[reading score]]&lt;$AC$5,Table1[[#This Row],[writing score]]&lt;$AC$5), "Failed atleast one", "Passed all")</f>
        <v>Passed all</v>
      </c>
      <c r="O820" t="str">
        <f>VLOOKUP(Table1[[#This Row],[average score]],$AE$9:$AG$13,3,TRUE)</f>
        <v>Needs improvements</v>
      </c>
    </row>
    <row r="821" spans="1:15" x14ac:dyDescent="0.2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t="s">
        <v>855</v>
      </c>
      <c r="J821">
        <f>SUM(Table1[[#This Row],[math score]:[writing score]])</f>
        <v>256</v>
      </c>
      <c r="K821" s="1">
        <f>Table1[[#This Row],[total score]]/3</f>
        <v>85.333333333333329</v>
      </c>
      <c r="L821" s="6" t="str">
        <f>VLOOKUP(Table1[[#This Row],[average score]],$AE$9:$AF$13,2,TRUE)</f>
        <v>B</v>
      </c>
      <c r="M8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21" s="2" t="str">
        <f>IF(OR(Table1[[#This Row],[math score]]&lt;$AC$5,Table1[[#This Row],[reading score]]&lt;$AC$5,Table1[[#This Row],[writing score]]&lt;$AC$5), "Failed atleast one", "Passed all")</f>
        <v>Passed all</v>
      </c>
      <c r="O821" t="str">
        <f>VLOOKUP(Table1[[#This Row],[average score]],$AE$9:$AG$13,3,TRUE)</f>
        <v xml:space="preserve">Good </v>
      </c>
    </row>
    <row r="822" spans="1:15" x14ac:dyDescent="0.2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t="s">
        <v>856</v>
      </c>
      <c r="J822">
        <f>SUM(Table1[[#This Row],[math score]:[writing score]])</f>
        <v>267</v>
      </c>
      <c r="K822" s="1">
        <f>Table1[[#This Row],[total score]]/3</f>
        <v>89</v>
      </c>
      <c r="L822" s="6" t="str">
        <f>VLOOKUP(Table1[[#This Row],[average score]],$AE$9:$AF$13,2,TRUE)</f>
        <v>B</v>
      </c>
      <c r="M8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22" s="2" t="str">
        <f>IF(OR(Table1[[#This Row],[math score]]&lt;$AC$5,Table1[[#This Row],[reading score]]&lt;$AC$5,Table1[[#This Row],[writing score]]&lt;$AC$5), "Failed atleast one", "Passed all")</f>
        <v>Passed all</v>
      </c>
      <c r="O822" t="str">
        <f>VLOOKUP(Table1[[#This Row],[average score]],$AE$9:$AG$13,3,TRUE)</f>
        <v xml:space="preserve">Good </v>
      </c>
    </row>
    <row r="823" spans="1:15" x14ac:dyDescent="0.2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t="s">
        <v>857</v>
      </c>
      <c r="J823">
        <f>SUM(Table1[[#This Row],[math score]:[writing score]])</f>
        <v>261</v>
      </c>
      <c r="K823" s="1">
        <f>Table1[[#This Row],[total score]]/3</f>
        <v>87</v>
      </c>
      <c r="L823" s="6" t="str">
        <f>VLOOKUP(Table1[[#This Row],[average score]],$AE$9:$AF$13,2,TRUE)</f>
        <v>B</v>
      </c>
      <c r="M8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23" s="2" t="str">
        <f>IF(OR(Table1[[#This Row],[math score]]&lt;$AC$5,Table1[[#This Row],[reading score]]&lt;$AC$5,Table1[[#This Row],[writing score]]&lt;$AC$5), "Failed atleast one", "Passed all")</f>
        <v>Passed all</v>
      </c>
      <c r="O823" t="str">
        <f>VLOOKUP(Table1[[#This Row],[average score]],$AE$9:$AG$13,3,TRUE)</f>
        <v xml:space="preserve">Good </v>
      </c>
    </row>
    <row r="824" spans="1:15" x14ac:dyDescent="0.2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t="s">
        <v>858</v>
      </c>
      <c r="J824">
        <f>SUM(Table1[[#This Row],[math score]:[writing score]])</f>
        <v>152</v>
      </c>
      <c r="K824" s="1">
        <f>Table1[[#This Row],[total score]]/3</f>
        <v>50.666666666666664</v>
      </c>
      <c r="L824" s="6" t="str">
        <f>VLOOKUP(Table1[[#This Row],[average score]],$AE$9:$AF$13,2,TRUE)</f>
        <v>F</v>
      </c>
      <c r="M8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24" s="2" t="str">
        <f>IF(OR(Table1[[#This Row],[math score]]&lt;$AC$5,Table1[[#This Row],[reading score]]&lt;$AC$5,Table1[[#This Row],[writing score]]&lt;$AC$5), "Failed atleast one", "Passed all")</f>
        <v>Failed atleast one</v>
      </c>
      <c r="O824" t="str">
        <f>VLOOKUP(Table1[[#This Row],[average score]],$AE$9:$AG$13,3,TRUE)</f>
        <v>Poor</v>
      </c>
    </row>
    <row r="825" spans="1:15" x14ac:dyDescent="0.2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t="s">
        <v>859</v>
      </c>
      <c r="J825">
        <f>SUM(Table1[[#This Row],[math score]:[writing score]])</f>
        <v>240</v>
      </c>
      <c r="K825" s="1">
        <f>Table1[[#This Row],[total score]]/3</f>
        <v>80</v>
      </c>
      <c r="L825" s="6" t="str">
        <f>VLOOKUP(Table1[[#This Row],[average score]],$AE$9:$AF$13,2,TRUE)</f>
        <v>B</v>
      </c>
      <c r="M8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25" s="2" t="str">
        <f>IF(OR(Table1[[#This Row],[math score]]&lt;$AC$5,Table1[[#This Row],[reading score]]&lt;$AC$5,Table1[[#This Row],[writing score]]&lt;$AC$5), "Failed atleast one", "Passed all")</f>
        <v>Passed all</v>
      </c>
      <c r="O825" t="str">
        <f>VLOOKUP(Table1[[#This Row],[average score]],$AE$9:$AG$13,3,TRUE)</f>
        <v xml:space="preserve">Good </v>
      </c>
    </row>
    <row r="826" spans="1:15" x14ac:dyDescent="0.2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t="s">
        <v>860</v>
      </c>
      <c r="J826">
        <f>SUM(Table1[[#This Row],[math score]:[writing score]])</f>
        <v>158</v>
      </c>
      <c r="K826" s="1">
        <f>Table1[[#This Row],[total score]]/3</f>
        <v>52.666666666666664</v>
      </c>
      <c r="L826" s="6" t="str">
        <f>VLOOKUP(Table1[[#This Row],[average score]],$AE$9:$AF$13,2,TRUE)</f>
        <v>F</v>
      </c>
      <c r="M8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26" s="2" t="str">
        <f>IF(OR(Table1[[#This Row],[math score]]&lt;$AC$5,Table1[[#This Row],[reading score]]&lt;$AC$5,Table1[[#This Row],[writing score]]&lt;$AC$5), "Failed atleast one", "Passed all")</f>
        <v>Failed atleast one</v>
      </c>
      <c r="O826" t="str">
        <f>VLOOKUP(Table1[[#This Row],[average score]],$AE$9:$AG$13,3,TRUE)</f>
        <v>Poor</v>
      </c>
    </row>
    <row r="827" spans="1:15" x14ac:dyDescent="0.2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t="s">
        <v>861</v>
      </c>
      <c r="J827">
        <f>SUM(Table1[[#This Row],[math score]:[writing score]])</f>
        <v>187</v>
      </c>
      <c r="K827" s="1">
        <f>Table1[[#This Row],[total score]]/3</f>
        <v>62.333333333333336</v>
      </c>
      <c r="L827" s="6" t="str">
        <f>VLOOKUP(Table1[[#This Row],[average score]],$AE$9:$AF$13,2,TRUE)</f>
        <v>D</v>
      </c>
      <c r="M8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27" s="2" t="str">
        <f>IF(OR(Table1[[#This Row],[math score]]&lt;$AC$5,Table1[[#This Row],[reading score]]&lt;$AC$5,Table1[[#This Row],[writing score]]&lt;$AC$5), "Failed atleast one", "Passed all")</f>
        <v>Failed atleast one</v>
      </c>
      <c r="O827" t="str">
        <f>VLOOKUP(Table1[[#This Row],[average score]],$AE$9:$AG$13,3,TRUE)</f>
        <v>Needs improvements</v>
      </c>
    </row>
    <row r="828" spans="1:15" x14ac:dyDescent="0.2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t="s">
        <v>862</v>
      </c>
      <c r="J828">
        <f>SUM(Table1[[#This Row],[math score]:[writing score]])</f>
        <v>194</v>
      </c>
      <c r="K828" s="1">
        <f>Table1[[#This Row],[total score]]/3</f>
        <v>64.666666666666671</v>
      </c>
      <c r="L828" s="6" t="str">
        <f>VLOOKUP(Table1[[#This Row],[average score]],$AE$9:$AF$13,2,TRUE)</f>
        <v>D</v>
      </c>
      <c r="M8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28" s="2" t="str">
        <f>IF(OR(Table1[[#This Row],[math score]]&lt;$AC$5,Table1[[#This Row],[reading score]]&lt;$AC$5,Table1[[#This Row],[writing score]]&lt;$AC$5), "Failed atleast one", "Passed all")</f>
        <v>Failed atleast one</v>
      </c>
      <c r="O828" t="str">
        <f>VLOOKUP(Table1[[#This Row],[average score]],$AE$9:$AG$13,3,TRUE)</f>
        <v>Needs improvements</v>
      </c>
    </row>
    <row r="829" spans="1:15" x14ac:dyDescent="0.2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t="s">
        <v>863</v>
      </c>
      <c r="J829">
        <f>SUM(Table1[[#This Row],[math score]:[writing score]])</f>
        <v>210</v>
      </c>
      <c r="K829" s="1">
        <f>Table1[[#This Row],[total score]]/3</f>
        <v>70</v>
      </c>
      <c r="L829" s="6" t="str">
        <f>VLOOKUP(Table1[[#This Row],[average score]],$AE$9:$AF$13,2,TRUE)</f>
        <v>C</v>
      </c>
      <c r="M8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29" s="2" t="str">
        <f>IF(OR(Table1[[#This Row],[math score]]&lt;$AC$5,Table1[[#This Row],[reading score]]&lt;$AC$5,Table1[[#This Row],[writing score]]&lt;$AC$5), "Failed atleast one", "Passed all")</f>
        <v>Passed all</v>
      </c>
      <c r="O829" t="str">
        <f>VLOOKUP(Table1[[#This Row],[average score]],$AE$9:$AG$13,3,TRUE)</f>
        <v>Satisfactory</v>
      </c>
    </row>
    <row r="830" spans="1:15" x14ac:dyDescent="0.2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t="s">
        <v>864</v>
      </c>
      <c r="J830">
        <f>SUM(Table1[[#This Row],[math score]:[writing score]])</f>
        <v>236</v>
      </c>
      <c r="K830" s="1">
        <f>Table1[[#This Row],[total score]]/3</f>
        <v>78.666666666666671</v>
      </c>
      <c r="L830" s="6" t="str">
        <f>VLOOKUP(Table1[[#This Row],[average score]],$AE$9:$AF$13,2,TRUE)</f>
        <v>C</v>
      </c>
      <c r="M8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30" s="2" t="str">
        <f>IF(OR(Table1[[#This Row],[math score]]&lt;$AC$5,Table1[[#This Row],[reading score]]&lt;$AC$5,Table1[[#This Row],[writing score]]&lt;$AC$5), "Failed atleast one", "Passed all")</f>
        <v>Passed all</v>
      </c>
      <c r="O830" t="str">
        <f>VLOOKUP(Table1[[#This Row],[average score]],$AE$9:$AG$13,3,TRUE)</f>
        <v>Satisfactory</v>
      </c>
    </row>
    <row r="831" spans="1:15" x14ac:dyDescent="0.2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t="s">
        <v>865</v>
      </c>
      <c r="J831">
        <f>SUM(Table1[[#This Row],[math score]:[writing score]])</f>
        <v>175</v>
      </c>
      <c r="K831" s="1">
        <f>Table1[[#This Row],[total score]]/3</f>
        <v>58.333333333333336</v>
      </c>
      <c r="L831" s="6" t="str">
        <f>VLOOKUP(Table1[[#This Row],[average score]],$AE$9:$AF$13,2,TRUE)</f>
        <v>F</v>
      </c>
      <c r="M8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31" s="2" t="str">
        <f>IF(OR(Table1[[#This Row],[math score]]&lt;$AC$5,Table1[[#This Row],[reading score]]&lt;$AC$5,Table1[[#This Row],[writing score]]&lt;$AC$5), "Failed atleast one", "Passed all")</f>
        <v>Failed atleast one</v>
      </c>
      <c r="O831" t="str">
        <f>VLOOKUP(Table1[[#This Row],[average score]],$AE$9:$AG$13,3,TRUE)</f>
        <v>Poor</v>
      </c>
    </row>
    <row r="832" spans="1:15" x14ac:dyDescent="0.2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t="s">
        <v>866</v>
      </c>
      <c r="J832">
        <f>SUM(Table1[[#This Row],[math score]:[writing score]])</f>
        <v>178</v>
      </c>
      <c r="K832" s="1">
        <f>Table1[[#This Row],[total score]]/3</f>
        <v>59.333333333333336</v>
      </c>
      <c r="L832" s="6" t="str">
        <f>VLOOKUP(Table1[[#This Row],[average score]],$AE$9:$AF$13,2,TRUE)</f>
        <v>F</v>
      </c>
      <c r="M8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32" s="2" t="str">
        <f>IF(OR(Table1[[#This Row],[math score]]&lt;$AC$5,Table1[[#This Row],[reading score]]&lt;$AC$5,Table1[[#This Row],[writing score]]&lt;$AC$5), "Failed atleast one", "Passed all")</f>
        <v>Failed atleast one</v>
      </c>
      <c r="O832" t="str">
        <f>VLOOKUP(Table1[[#This Row],[average score]],$AE$9:$AG$13,3,TRUE)</f>
        <v>Poor</v>
      </c>
    </row>
    <row r="833" spans="1:15" x14ac:dyDescent="0.2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t="s">
        <v>867</v>
      </c>
      <c r="J833">
        <f>SUM(Table1[[#This Row],[math score]:[writing score]])</f>
        <v>249</v>
      </c>
      <c r="K833" s="1">
        <f>Table1[[#This Row],[total score]]/3</f>
        <v>83</v>
      </c>
      <c r="L833" s="6" t="str">
        <f>VLOOKUP(Table1[[#This Row],[average score]],$AE$9:$AF$13,2,TRUE)</f>
        <v>B</v>
      </c>
      <c r="M8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33" s="2" t="str">
        <f>IF(OR(Table1[[#This Row],[math score]]&lt;$AC$5,Table1[[#This Row],[reading score]]&lt;$AC$5,Table1[[#This Row],[writing score]]&lt;$AC$5), "Failed atleast one", "Passed all")</f>
        <v>Passed all</v>
      </c>
      <c r="O833" t="str">
        <f>VLOOKUP(Table1[[#This Row],[average score]],$AE$9:$AG$13,3,TRUE)</f>
        <v xml:space="preserve">Good </v>
      </c>
    </row>
    <row r="834" spans="1:15" x14ac:dyDescent="0.2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t="s">
        <v>868</v>
      </c>
      <c r="J834">
        <f>SUM(Table1[[#This Row],[math score]:[writing score]])</f>
        <v>182</v>
      </c>
      <c r="K834" s="1">
        <f>Table1[[#This Row],[total score]]/3</f>
        <v>60.666666666666664</v>
      </c>
      <c r="L834" s="6" t="str">
        <f>VLOOKUP(Table1[[#This Row],[average score]],$AE$9:$AF$13,2,TRUE)</f>
        <v>D</v>
      </c>
      <c r="M8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34" s="2" t="str">
        <f>IF(OR(Table1[[#This Row],[math score]]&lt;$AC$5,Table1[[#This Row],[reading score]]&lt;$AC$5,Table1[[#This Row],[writing score]]&lt;$AC$5), "Failed atleast one", "Passed all")</f>
        <v>Failed atleast one</v>
      </c>
      <c r="O834" t="str">
        <f>VLOOKUP(Table1[[#This Row],[average score]],$AE$9:$AG$13,3,TRUE)</f>
        <v>Needs improvements</v>
      </c>
    </row>
    <row r="835" spans="1:15" x14ac:dyDescent="0.2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t="s">
        <v>869</v>
      </c>
      <c r="J835">
        <f>SUM(Table1[[#This Row],[math score]:[writing score]])</f>
        <v>248</v>
      </c>
      <c r="K835" s="1">
        <f>Table1[[#This Row],[total score]]/3</f>
        <v>82.666666666666671</v>
      </c>
      <c r="L835" s="6" t="str">
        <f>VLOOKUP(Table1[[#This Row],[average score]],$AE$9:$AF$13,2,TRUE)</f>
        <v>B</v>
      </c>
      <c r="M8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35" s="2" t="str">
        <f>IF(OR(Table1[[#This Row],[math score]]&lt;$AC$5,Table1[[#This Row],[reading score]]&lt;$AC$5,Table1[[#This Row],[writing score]]&lt;$AC$5), "Failed atleast one", "Passed all")</f>
        <v>Passed all</v>
      </c>
      <c r="O835" t="str">
        <f>VLOOKUP(Table1[[#This Row],[average score]],$AE$9:$AG$13,3,TRUE)</f>
        <v xml:space="preserve">Good </v>
      </c>
    </row>
    <row r="836" spans="1:15" x14ac:dyDescent="0.2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t="s">
        <v>870</v>
      </c>
      <c r="J836">
        <f>SUM(Table1[[#This Row],[math score]:[writing score]])</f>
        <v>153</v>
      </c>
      <c r="K836" s="1">
        <f>Table1[[#This Row],[total score]]/3</f>
        <v>51</v>
      </c>
      <c r="L836" s="6" t="str">
        <f>VLOOKUP(Table1[[#This Row],[average score]],$AE$9:$AF$13,2,TRUE)</f>
        <v>F</v>
      </c>
      <c r="M8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36" s="2" t="str">
        <f>IF(OR(Table1[[#This Row],[math score]]&lt;$AC$5,Table1[[#This Row],[reading score]]&lt;$AC$5,Table1[[#This Row],[writing score]]&lt;$AC$5), "Failed atleast one", "Passed all")</f>
        <v>Failed atleast one</v>
      </c>
      <c r="O836" t="str">
        <f>VLOOKUP(Table1[[#This Row],[average score]],$AE$9:$AG$13,3,TRUE)</f>
        <v>Poor</v>
      </c>
    </row>
    <row r="837" spans="1:15" x14ac:dyDescent="0.2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t="s">
        <v>871</v>
      </c>
      <c r="J837">
        <f>SUM(Table1[[#This Row],[math score]:[writing score]])</f>
        <v>198</v>
      </c>
      <c r="K837" s="1">
        <f>Table1[[#This Row],[total score]]/3</f>
        <v>66</v>
      </c>
      <c r="L837" s="6" t="str">
        <f>VLOOKUP(Table1[[#This Row],[average score]],$AE$9:$AF$13,2,TRUE)</f>
        <v>D</v>
      </c>
      <c r="M8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37" s="2" t="str">
        <f>IF(OR(Table1[[#This Row],[math score]]&lt;$AC$5,Table1[[#This Row],[reading score]]&lt;$AC$5,Table1[[#This Row],[writing score]]&lt;$AC$5), "Failed atleast one", "Passed all")</f>
        <v>Passed all</v>
      </c>
      <c r="O837" t="str">
        <f>VLOOKUP(Table1[[#This Row],[average score]],$AE$9:$AG$13,3,TRUE)</f>
        <v>Needs improvements</v>
      </c>
    </row>
    <row r="838" spans="1:15" x14ac:dyDescent="0.2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t="s">
        <v>872</v>
      </c>
      <c r="J838">
        <f>SUM(Table1[[#This Row],[math score]:[writing score]])</f>
        <v>194</v>
      </c>
      <c r="K838" s="1">
        <f>Table1[[#This Row],[total score]]/3</f>
        <v>64.666666666666671</v>
      </c>
      <c r="L838" s="6" t="str">
        <f>VLOOKUP(Table1[[#This Row],[average score]],$AE$9:$AF$13,2,TRUE)</f>
        <v>D</v>
      </c>
      <c r="M8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38" s="2" t="str">
        <f>IF(OR(Table1[[#This Row],[math score]]&lt;$AC$5,Table1[[#This Row],[reading score]]&lt;$AC$5,Table1[[#This Row],[writing score]]&lt;$AC$5), "Failed atleast one", "Passed all")</f>
        <v>Failed atleast one</v>
      </c>
      <c r="O838" t="str">
        <f>VLOOKUP(Table1[[#This Row],[average score]],$AE$9:$AG$13,3,TRUE)</f>
        <v>Needs improvements</v>
      </c>
    </row>
    <row r="839" spans="1:15" x14ac:dyDescent="0.2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t="s">
        <v>873</v>
      </c>
      <c r="J839">
        <f>SUM(Table1[[#This Row],[math score]:[writing score]])</f>
        <v>236</v>
      </c>
      <c r="K839" s="1">
        <f>Table1[[#This Row],[total score]]/3</f>
        <v>78.666666666666671</v>
      </c>
      <c r="L839" s="6" t="str">
        <f>VLOOKUP(Table1[[#This Row],[average score]],$AE$9:$AF$13,2,TRUE)</f>
        <v>C</v>
      </c>
      <c r="M8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39" s="2" t="str">
        <f>IF(OR(Table1[[#This Row],[math score]]&lt;$AC$5,Table1[[#This Row],[reading score]]&lt;$AC$5,Table1[[#This Row],[writing score]]&lt;$AC$5), "Failed atleast one", "Passed all")</f>
        <v>Passed all</v>
      </c>
      <c r="O839" t="str">
        <f>VLOOKUP(Table1[[#This Row],[average score]],$AE$9:$AG$13,3,TRUE)</f>
        <v>Satisfactory</v>
      </c>
    </row>
    <row r="840" spans="1:15" x14ac:dyDescent="0.2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t="s">
        <v>874</v>
      </c>
      <c r="J840">
        <f>SUM(Table1[[#This Row],[math score]:[writing score]])</f>
        <v>168</v>
      </c>
      <c r="K840" s="1">
        <f>Table1[[#This Row],[total score]]/3</f>
        <v>56</v>
      </c>
      <c r="L840" s="6" t="str">
        <f>VLOOKUP(Table1[[#This Row],[average score]],$AE$9:$AF$13,2,TRUE)</f>
        <v>F</v>
      </c>
      <c r="M8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0" s="2" t="str">
        <f>IF(OR(Table1[[#This Row],[math score]]&lt;$AC$5,Table1[[#This Row],[reading score]]&lt;$AC$5,Table1[[#This Row],[writing score]]&lt;$AC$5), "Failed atleast one", "Passed all")</f>
        <v>Failed atleast one</v>
      </c>
      <c r="O840" t="str">
        <f>VLOOKUP(Table1[[#This Row],[average score]],$AE$9:$AG$13,3,TRUE)</f>
        <v>Poor</v>
      </c>
    </row>
    <row r="841" spans="1:15" x14ac:dyDescent="0.2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t="s">
        <v>875</v>
      </c>
      <c r="J841">
        <f>SUM(Table1[[#This Row],[math score]:[writing score]])</f>
        <v>216</v>
      </c>
      <c r="K841" s="1">
        <f>Table1[[#This Row],[total score]]/3</f>
        <v>72</v>
      </c>
      <c r="L841" s="6" t="str">
        <f>VLOOKUP(Table1[[#This Row],[average score]],$AE$9:$AF$13,2,TRUE)</f>
        <v>C</v>
      </c>
      <c r="M8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41" s="2" t="str">
        <f>IF(OR(Table1[[#This Row],[math score]]&lt;$AC$5,Table1[[#This Row],[reading score]]&lt;$AC$5,Table1[[#This Row],[writing score]]&lt;$AC$5), "Failed atleast one", "Passed all")</f>
        <v>Passed all</v>
      </c>
      <c r="O841" t="str">
        <f>VLOOKUP(Table1[[#This Row],[average score]],$AE$9:$AG$13,3,TRUE)</f>
        <v>Satisfactory</v>
      </c>
    </row>
    <row r="842" spans="1:15" x14ac:dyDescent="0.2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t="s">
        <v>876</v>
      </c>
      <c r="J842">
        <f>SUM(Table1[[#This Row],[math score]:[writing score]])</f>
        <v>137</v>
      </c>
      <c r="K842" s="1">
        <f>Table1[[#This Row],[total score]]/3</f>
        <v>45.666666666666664</v>
      </c>
      <c r="L842" s="6" t="str">
        <f>VLOOKUP(Table1[[#This Row],[average score]],$AE$9:$AF$13,2,TRUE)</f>
        <v>F</v>
      </c>
      <c r="M8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2" s="2" t="str">
        <f>IF(OR(Table1[[#This Row],[math score]]&lt;$AC$5,Table1[[#This Row],[reading score]]&lt;$AC$5,Table1[[#This Row],[writing score]]&lt;$AC$5), "Failed atleast one", "Passed all")</f>
        <v>Failed atleast one</v>
      </c>
      <c r="O842" t="str">
        <f>VLOOKUP(Table1[[#This Row],[average score]],$AE$9:$AG$13,3,TRUE)</f>
        <v>Poor</v>
      </c>
    </row>
    <row r="843" spans="1:15" x14ac:dyDescent="0.2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t="s">
        <v>877</v>
      </c>
      <c r="J843">
        <f>SUM(Table1[[#This Row],[math score]:[writing score]])</f>
        <v>173</v>
      </c>
      <c r="K843" s="1">
        <f>Table1[[#This Row],[total score]]/3</f>
        <v>57.666666666666664</v>
      </c>
      <c r="L843" s="6" t="str">
        <f>VLOOKUP(Table1[[#This Row],[average score]],$AE$9:$AF$13,2,TRUE)</f>
        <v>F</v>
      </c>
      <c r="M8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3" s="2" t="str">
        <f>IF(OR(Table1[[#This Row],[math score]]&lt;$AC$5,Table1[[#This Row],[reading score]]&lt;$AC$5,Table1[[#This Row],[writing score]]&lt;$AC$5), "Failed atleast one", "Passed all")</f>
        <v>Failed atleast one</v>
      </c>
      <c r="O843" t="str">
        <f>VLOOKUP(Table1[[#This Row],[average score]],$AE$9:$AG$13,3,TRUE)</f>
        <v>Poor</v>
      </c>
    </row>
    <row r="844" spans="1:15" x14ac:dyDescent="0.2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t="s">
        <v>878</v>
      </c>
      <c r="J844">
        <f>SUM(Table1[[#This Row],[math score]:[writing score]])</f>
        <v>103</v>
      </c>
      <c r="K844" s="1">
        <f>Table1[[#This Row],[total score]]/3</f>
        <v>34.333333333333336</v>
      </c>
      <c r="L844" s="6" t="str">
        <f>VLOOKUP(Table1[[#This Row],[average score]],$AE$9:$AF$13,2,TRUE)</f>
        <v>F</v>
      </c>
      <c r="M8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4" s="2" t="str">
        <f>IF(OR(Table1[[#This Row],[math score]]&lt;$AC$5,Table1[[#This Row],[reading score]]&lt;$AC$5,Table1[[#This Row],[writing score]]&lt;$AC$5), "Failed atleast one", "Passed all")</f>
        <v>Failed atleast one</v>
      </c>
      <c r="O844" t="str">
        <f>VLOOKUP(Table1[[#This Row],[average score]],$AE$9:$AG$13,3,TRUE)</f>
        <v>Poor</v>
      </c>
    </row>
    <row r="845" spans="1:15" x14ac:dyDescent="0.2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t="s">
        <v>879</v>
      </c>
      <c r="J845">
        <f>SUM(Table1[[#This Row],[math score]:[writing score]])</f>
        <v>227</v>
      </c>
      <c r="K845" s="1">
        <f>Table1[[#This Row],[total score]]/3</f>
        <v>75.666666666666671</v>
      </c>
      <c r="L845" s="6" t="str">
        <f>VLOOKUP(Table1[[#This Row],[average score]],$AE$9:$AF$13,2,TRUE)</f>
        <v>C</v>
      </c>
      <c r="M8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45" s="2" t="str">
        <f>IF(OR(Table1[[#This Row],[math score]]&lt;$AC$5,Table1[[#This Row],[reading score]]&lt;$AC$5,Table1[[#This Row],[writing score]]&lt;$AC$5), "Failed atleast one", "Passed all")</f>
        <v>Passed all</v>
      </c>
      <c r="O845" t="str">
        <f>VLOOKUP(Table1[[#This Row],[average score]],$AE$9:$AG$13,3,TRUE)</f>
        <v>Satisfactory</v>
      </c>
    </row>
    <row r="846" spans="1:15" x14ac:dyDescent="0.2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t="s">
        <v>880</v>
      </c>
      <c r="J846">
        <f>SUM(Table1[[#This Row],[math score]:[writing score]])</f>
        <v>169</v>
      </c>
      <c r="K846" s="1">
        <f>Table1[[#This Row],[total score]]/3</f>
        <v>56.333333333333336</v>
      </c>
      <c r="L846" s="6" t="str">
        <f>VLOOKUP(Table1[[#This Row],[average score]],$AE$9:$AF$13,2,TRUE)</f>
        <v>F</v>
      </c>
      <c r="M8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6" s="2" t="str">
        <f>IF(OR(Table1[[#This Row],[math score]]&lt;$AC$5,Table1[[#This Row],[reading score]]&lt;$AC$5,Table1[[#This Row],[writing score]]&lt;$AC$5), "Failed atleast one", "Passed all")</f>
        <v>Failed atleast one</v>
      </c>
      <c r="O846" t="str">
        <f>VLOOKUP(Table1[[#This Row],[average score]],$AE$9:$AG$13,3,TRUE)</f>
        <v>Poor</v>
      </c>
    </row>
    <row r="847" spans="1:15" x14ac:dyDescent="0.2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t="s">
        <v>881</v>
      </c>
      <c r="J847">
        <f>SUM(Table1[[#This Row],[math score]:[writing score]])</f>
        <v>259</v>
      </c>
      <c r="K847" s="1">
        <f>Table1[[#This Row],[total score]]/3</f>
        <v>86.333333333333329</v>
      </c>
      <c r="L847" s="6" t="str">
        <f>VLOOKUP(Table1[[#This Row],[average score]],$AE$9:$AF$13,2,TRUE)</f>
        <v>B</v>
      </c>
      <c r="M8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47" s="2" t="str">
        <f>IF(OR(Table1[[#This Row],[math score]]&lt;$AC$5,Table1[[#This Row],[reading score]]&lt;$AC$5,Table1[[#This Row],[writing score]]&lt;$AC$5), "Failed atleast one", "Passed all")</f>
        <v>Passed all</v>
      </c>
      <c r="O847" t="str">
        <f>VLOOKUP(Table1[[#This Row],[average score]],$AE$9:$AG$13,3,TRUE)</f>
        <v xml:space="preserve">Good </v>
      </c>
    </row>
    <row r="848" spans="1:15" x14ac:dyDescent="0.2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t="s">
        <v>882</v>
      </c>
      <c r="J848">
        <f>SUM(Table1[[#This Row],[math score]:[writing score]])</f>
        <v>261</v>
      </c>
      <c r="K848" s="1">
        <f>Table1[[#This Row],[total score]]/3</f>
        <v>87</v>
      </c>
      <c r="L848" s="6" t="str">
        <f>VLOOKUP(Table1[[#This Row],[average score]],$AE$9:$AF$13,2,TRUE)</f>
        <v>B</v>
      </c>
      <c r="M8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48" s="2" t="str">
        <f>IF(OR(Table1[[#This Row],[math score]]&lt;$AC$5,Table1[[#This Row],[reading score]]&lt;$AC$5,Table1[[#This Row],[writing score]]&lt;$AC$5), "Failed atleast one", "Passed all")</f>
        <v>Passed all</v>
      </c>
      <c r="O848" t="str">
        <f>VLOOKUP(Table1[[#This Row],[average score]],$AE$9:$AG$13,3,TRUE)</f>
        <v xml:space="preserve">Good </v>
      </c>
    </row>
    <row r="849" spans="1:15" x14ac:dyDescent="0.2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t="s">
        <v>883</v>
      </c>
      <c r="J849">
        <f>SUM(Table1[[#This Row],[math score]:[writing score]])</f>
        <v>168</v>
      </c>
      <c r="K849" s="1">
        <f>Table1[[#This Row],[total score]]/3</f>
        <v>56</v>
      </c>
      <c r="L849" s="6" t="str">
        <f>VLOOKUP(Table1[[#This Row],[average score]],$AE$9:$AF$13,2,TRUE)</f>
        <v>F</v>
      </c>
      <c r="M8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49" s="2" t="str">
        <f>IF(OR(Table1[[#This Row],[math score]]&lt;$AC$5,Table1[[#This Row],[reading score]]&lt;$AC$5,Table1[[#This Row],[writing score]]&lt;$AC$5), "Failed atleast one", "Passed all")</f>
        <v>Failed atleast one</v>
      </c>
      <c r="O849" t="str">
        <f>VLOOKUP(Table1[[#This Row],[average score]],$AE$9:$AG$13,3,TRUE)</f>
        <v>Poor</v>
      </c>
    </row>
    <row r="850" spans="1:15" x14ac:dyDescent="0.2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t="s">
        <v>884</v>
      </c>
      <c r="J850">
        <f>SUM(Table1[[#This Row],[math score]:[writing score]])</f>
        <v>199</v>
      </c>
      <c r="K850" s="1">
        <f>Table1[[#This Row],[total score]]/3</f>
        <v>66.333333333333329</v>
      </c>
      <c r="L850" s="6" t="str">
        <f>VLOOKUP(Table1[[#This Row],[average score]],$AE$9:$AF$13,2,TRUE)</f>
        <v>D</v>
      </c>
      <c r="M8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0" s="2" t="str">
        <f>IF(OR(Table1[[#This Row],[math score]]&lt;$AC$5,Table1[[#This Row],[reading score]]&lt;$AC$5,Table1[[#This Row],[writing score]]&lt;$AC$5), "Failed atleast one", "Passed all")</f>
        <v>Failed atleast one</v>
      </c>
      <c r="O850" t="str">
        <f>VLOOKUP(Table1[[#This Row],[average score]],$AE$9:$AG$13,3,TRUE)</f>
        <v>Needs improvements</v>
      </c>
    </row>
    <row r="851" spans="1:15" x14ac:dyDescent="0.2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t="s">
        <v>885</v>
      </c>
      <c r="J851">
        <f>SUM(Table1[[#This Row],[math score]:[writing score]])</f>
        <v>224</v>
      </c>
      <c r="K851" s="1">
        <f>Table1[[#This Row],[total score]]/3</f>
        <v>74.666666666666671</v>
      </c>
      <c r="L851" s="6" t="str">
        <f>VLOOKUP(Table1[[#This Row],[average score]],$AE$9:$AF$13,2,TRUE)</f>
        <v>C</v>
      </c>
      <c r="M8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51" s="2" t="str">
        <f>IF(OR(Table1[[#This Row],[math score]]&lt;$AC$5,Table1[[#This Row],[reading score]]&lt;$AC$5,Table1[[#This Row],[writing score]]&lt;$AC$5), "Failed atleast one", "Passed all")</f>
        <v>Passed all</v>
      </c>
      <c r="O851" t="str">
        <f>VLOOKUP(Table1[[#This Row],[average score]],$AE$9:$AG$13,3,TRUE)</f>
        <v>Satisfactory</v>
      </c>
    </row>
    <row r="852" spans="1:15" x14ac:dyDescent="0.2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t="s">
        <v>886</v>
      </c>
      <c r="J852">
        <f>SUM(Table1[[#This Row],[math score]:[writing score]])</f>
        <v>205</v>
      </c>
      <c r="K852" s="1">
        <f>Table1[[#This Row],[total score]]/3</f>
        <v>68.333333333333329</v>
      </c>
      <c r="L852" s="6" t="str">
        <f>VLOOKUP(Table1[[#This Row],[average score]],$AE$9:$AF$13,2,TRUE)</f>
        <v>D</v>
      </c>
      <c r="M8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2" s="2" t="str">
        <f>IF(OR(Table1[[#This Row],[math score]]&lt;$AC$5,Table1[[#This Row],[reading score]]&lt;$AC$5,Table1[[#This Row],[writing score]]&lt;$AC$5), "Failed atleast one", "Passed all")</f>
        <v>Passed all</v>
      </c>
      <c r="O852" t="str">
        <f>VLOOKUP(Table1[[#This Row],[average score]],$AE$9:$AG$13,3,TRUE)</f>
        <v>Needs improvements</v>
      </c>
    </row>
    <row r="853" spans="1:15" x14ac:dyDescent="0.2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t="s">
        <v>887</v>
      </c>
      <c r="J853">
        <f>SUM(Table1[[#This Row],[math score]:[writing score]])</f>
        <v>192</v>
      </c>
      <c r="K853" s="1">
        <f>Table1[[#This Row],[total score]]/3</f>
        <v>64</v>
      </c>
      <c r="L853" s="6" t="str">
        <f>VLOOKUP(Table1[[#This Row],[average score]],$AE$9:$AF$13,2,TRUE)</f>
        <v>D</v>
      </c>
      <c r="M8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3" s="2" t="str">
        <f>IF(OR(Table1[[#This Row],[math score]]&lt;$AC$5,Table1[[#This Row],[reading score]]&lt;$AC$5,Table1[[#This Row],[writing score]]&lt;$AC$5), "Failed atleast one", "Passed all")</f>
        <v>Passed all</v>
      </c>
      <c r="O853" t="str">
        <f>VLOOKUP(Table1[[#This Row],[average score]],$AE$9:$AG$13,3,TRUE)</f>
        <v>Needs improvements</v>
      </c>
    </row>
    <row r="854" spans="1:15" x14ac:dyDescent="0.2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t="s">
        <v>888</v>
      </c>
      <c r="J854">
        <f>SUM(Table1[[#This Row],[math score]:[writing score]])</f>
        <v>265</v>
      </c>
      <c r="K854" s="1">
        <f>Table1[[#This Row],[total score]]/3</f>
        <v>88.333333333333329</v>
      </c>
      <c r="L854" s="6" t="str">
        <f>VLOOKUP(Table1[[#This Row],[average score]],$AE$9:$AF$13,2,TRUE)</f>
        <v>B</v>
      </c>
      <c r="M8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54" s="2" t="str">
        <f>IF(OR(Table1[[#This Row],[math score]]&lt;$AC$5,Table1[[#This Row],[reading score]]&lt;$AC$5,Table1[[#This Row],[writing score]]&lt;$AC$5), "Failed atleast one", "Passed all")</f>
        <v>Passed all</v>
      </c>
      <c r="O854" t="str">
        <f>VLOOKUP(Table1[[#This Row],[average score]],$AE$9:$AG$13,3,TRUE)</f>
        <v xml:space="preserve">Good </v>
      </c>
    </row>
    <row r="855" spans="1:15" x14ac:dyDescent="0.2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t="s">
        <v>889</v>
      </c>
      <c r="J855">
        <f>SUM(Table1[[#This Row],[math score]:[writing score]])</f>
        <v>210</v>
      </c>
      <c r="K855" s="1">
        <f>Table1[[#This Row],[total score]]/3</f>
        <v>70</v>
      </c>
      <c r="L855" s="6" t="str">
        <f>VLOOKUP(Table1[[#This Row],[average score]],$AE$9:$AF$13,2,TRUE)</f>
        <v>C</v>
      </c>
      <c r="M8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55" s="2" t="str">
        <f>IF(OR(Table1[[#This Row],[math score]]&lt;$AC$5,Table1[[#This Row],[reading score]]&lt;$AC$5,Table1[[#This Row],[writing score]]&lt;$AC$5), "Failed atleast one", "Passed all")</f>
        <v>Passed all</v>
      </c>
      <c r="O855" t="str">
        <f>VLOOKUP(Table1[[#This Row],[average score]],$AE$9:$AG$13,3,TRUE)</f>
        <v>Satisfactory</v>
      </c>
    </row>
    <row r="856" spans="1:15" x14ac:dyDescent="0.2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t="s">
        <v>890</v>
      </c>
      <c r="J856">
        <f>SUM(Table1[[#This Row],[math score]:[writing score]])</f>
        <v>181</v>
      </c>
      <c r="K856" s="1">
        <f>Table1[[#This Row],[total score]]/3</f>
        <v>60.333333333333336</v>
      </c>
      <c r="L856" s="6" t="str">
        <f>VLOOKUP(Table1[[#This Row],[average score]],$AE$9:$AF$13,2,TRUE)</f>
        <v>D</v>
      </c>
      <c r="M8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6" s="2" t="str">
        <f>IF(OR(Table1[[#This Row],[math score]]&lt;$AC$5,Table1[[#This Row],[reading score]]&lt;$AC$5,Table1[[#This Row],[writing score]]&lt;$AC$5), "Failed atleast one", "Passed all")</f>
        <v>Failed atleast one</v>
      </c>
      <c r="O856" t="str">
        <f>VLOOKUP(Table1[[#This Row],[average score]],$AE$9:$AG$13,3,TRUE)</f>
        <v>Needs improvements</v>
      </c>
    </row>
    <row r="857" spans="1:15" x14ac:dyDescent="0.2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t="s">
        <v>891</v>
      </c>
      <c r="J857">
        <f>SUM(Table1[[#This Row],[math score]:[writing score]])</f>
        <v>290</v>
      </c>
      <c r="K857" s="1">
        <f>Table1[[#This Row],[total score]]/3</f>
        <v>96.666666666666671</v>
      </c>
      <c r="L857" s="6" t="str">
        <f>VLOOKUP(Table1[[#This Row],[average score]],$AE$9:$AF$13,2,TRUE)</f>
        <v>A</v>
      </c>
      <c r="M8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857" s="2" t="str">
        <f>IF(OR(Table1[[#This Row],[math score]]&lt;$AC$5,Table1[[#This Row],[reading score]]&lt;$AC$5,Table1[[#This Row],[writing score]]&lt;$AC$5), "Failed atleast one", "Passed all")</f>
        <v>Passed all</v>
      </c>
      <c r="O857" t="str">
        <f>VLOOKUP(Table1[[#This Row],[average score]],$AE$9:$AG$13,3,TRUE)</f>
        <v>Outstanding</v>
      </c>
    </row>
    <row r="858" spans="1:15" x14ac:dyDescent="0.2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t="s">
        <v>892</v>
      </c>
      <c r="J858">
        <f>SUM(Table1[[#This Row],[math score]:[writing score]])</f>
        <v>208</v>
      </c>
      <c r="K858" s="1">
        <f>Table1[[#This Row],[total score]]/3</f>
        <v>69.333333333333329</v>
      </c>
      <c r="L858" s="6" t="str">
        <f>VLOOKUP(Table1[[#This Row],[average score]],$AE$9:$AF$13,2,TRUE)</f>
        <v>D</v>
      </c>
      <c r="M8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58" s="2" t="str">
        <f>IF(OR(Table1[[#This Row],[math score]]&lt;$AC$5,Table1[[#This Row],[reading score]]&lt;$AC$5,Table1[[#This Row],[writing score]]&lt;$AC$5), "Failed atleast one", "Passed all")</f>
        <v>Passed all</v>
      </c>
      <c r="O858" t="str">
        <f>VLOOKUP(Table1[[#This Row],[average score]],$AE$9:$AG$13,3,TRUE)</f>
        <v>Needs improvements</v>
      </c>
    </row>
    <row r="859" spans="1:15" x14ac:dyDescent="0.2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t="s">
        <v>893</v>
      </c>
      <c r="J859">
        <f>SUM(Table1[[#This Row],[math score]:[writing score]])</f>
        <v>225</v>
      </c>
      <c r="K859" s="1">
        <f>Table1[[#This Row],[total score]]/3</f>
        <v>75</v>
      </c>
      <c r="L859" s="6" t="str">
        <f>VLOOKUP(Table1[[#This Row],[average score]],$AE$9:$AF$13,2,TRUE)</f>
        <v>C</v>
      </c>
      <c r="M8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59" s="2" t="str">
        <f>IF(OR(Table1[[#This Row],[math score]]&lt;$AC$5,Table1[[#This Row],[reading score]]&lt;$AC$5,Table1[[#This Row],[writing score]]&lt;$AC$5), "Failed atleast one", "Passed all")</f>
        <v>Passed all</v>
      </c>
      <c r="O859" t="str">
        <f>VLOOKUP(Table1[[#This Row],[average score]],$AE$9:$AG$13,3,TRUE)</f>
        <v>Satisfactory</v>
      </c>
    </row>
    <row r="860" spans="1:15" x14ac:dyDescent="0.2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t="s">
        <v>894</v>
      </c>
      <c r="J860">
        <f>SUM(Table1[[#This Row],[math score]:[writing score]])</f>
        <v>147</v>
      </c>
      <c r="K860" s="1">
        <f>Table1[[#This Row],[total score]]/3</f>
        <v>49</v>
      </c>
      <c r="L860" s="6" t="str">
        <f>VLOOKUP(Table1[[#This Row],[average score]],$AE$9:$AF$13,2,TRUE)</f>
        <v>F</v>
      </c>
      <c r="M8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0" s="2" t="str">
        <f>IF(OR(Table1[[#This Row],[math score]]&lt;$AC$5,Table1[[#This Row],[reading score]]&lt;$AC$5,Table1[[#This Row],[writing score]]&lt;$AC$5), "Failed atleast one", "Passed all")</f>
        <v>Failed atleast one</v>
      </c>
      <c r="O860" t="str">
        <f>VLOOKUP(Table1[[#This Row],[average score]],$AE$9:$AG$13,3,TRUE)</f>
        <v>Poor</v>
      </c>
    </row>
    <row r="861" spans="1:15" x14ac:dyDescent="0.2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t="s">
        <v>895</v>
      </c>
      <c r="J861">
        <f>SUM(Table1[[#This Row],[math score]:[writing score]])</f>
        <v>232</v>
      </c>
      <c r="K861" s="1">
        <f>Table1[[#This Row],[total score]]/3</f>
        <v>77.333333333333329</v>
      </c>
      <c r="L861" s="6" t="str">
        <f>VLOOKUP(Table1[[#This Row],[average score]],$AE$9:$AF$13,2,TRUE)</f>
        <v>C</v>
      </c>
      <c r="M8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61" s="2" t="str">
        <f>IF(OR(Table1[[#This Row],[math score]]&lt;$AC$5,Table1[[#This Row],[reading score]]&lt;$AC$5,Table1[[#This Row],[writing score]]&lt;$AC$5), "Failed atleast one", "Passed all")</f>
        <v>Passed all</v>
      </c>
      <c r="O861" t="str">
        <f>VLOOKUP(Table1[[#This Row],[average score]],$AE$9:$AG$13,3,TRUE)</f>
        <v>Satisfactory</v>
      </c>
    </row>
    <row r="862" spans="1:15" x14ac:dyDescent="0.2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t="s">
        <v>896</v>
      </c>
      <c r="J862">
        <f>SUM(Table1[[#This Row],[math score]:[writing score]])</f>
        <v>168</v>
      </c>
      <c r="K862" s="1">
        <f>Table1[[#This Row],[total score]]/3</f>
        <v>56</v>
      </c>
      <c r="L862" s="6" t="str">
        <f>VLOOKUP(Table1[[#This Row],[average score]],$AE$9:$AF$13,2,TRUE)</f>
        <v>F</v>
      </c>
      <c r="M8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2" s="2" t="str">
        <f>IF(OR(Table1[[#This Row],[math score]]&lt;$AC$5,Table1[[#This Row],[reading score]]&lt;$AC$5,Table1[[#This Row],[writing score]]&lt;$AC$5), "Failed atleast one", "Passed all")</f>
        <v>Failed atleast one</v>
      </c>
      <c r="O862" t="str">
        <f>VLOOKUP(Table1[[#This Row],[average score]],$AE$9:$AG$13,3,TRUE)</f>
        <v>Poor</v>
      </c>
    </row>
    <row r="863" spans="1:15" x14ac:dyDescent="0.2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t="s">
        <v>897</v>
      </c>
      <c r="J863">
        <f>SUM(Table1[[#This Row],[math score]:[writing score]])</f>
        <v>254</v>
      </c>
      <c r="K863" s="1">
        <f>Table1[[#This Row],[total score]]/3</f>
        <v>84.666666666666671</v>
      </c>
      <c r="L863" s="6" t="str">
        <f>VLOOKUP(Table1[[#This Row],[average score]],$AE$9:$AF$13,2,TRUE)</f>
        <v>B</v>
      </c>
      <c r="M8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63" s="2" t="str">
        <f>IF(OR(Table1[[#This Row],[math score]]&lt;$AC$5,Table1[[#This Row],[reading score]]&lt;$AC$5,Table1[[#This Row],[writing score]]&lt;$AC$5), "Failed atleast one", "Passed all")</f>
        <v>Passed all</v>
      </c>
      <c r="O863" t="str">
        <f>VLOOKUP(Table1[[#This Row],[average score]],$AE$9:$AG$13,3,TRUE)</f>
        <v xml:space="preserve">Good </v>
      </c>
    </row>
    <row r="864" spans="1:15" x14ac:dyDescent="0.2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t="s">
        <v>898</v>
      </c>
      <c r="J864">
        <f>SUM(Table1[[#This Row],[math score]:[writing score]])</f>
        <v>119</v>
      </c>
      <c r="K864" s="1">
        <f>Table1[[#This Row],[total score]]/3</f>
        <v>39.666666666666664</v>
      </c>
      <c r="L864" s="6" t="str">
        <f>VLOOKUP(Table1[[#This Row],[average score]],$AE$9:$AF$13,2,TRUE)</f>
        <v>F</v>
      </c>
      <c r="M8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4" s="2" t="str">
        <f>IF(OR(Table1[[#This Row],[math score]]&lt;$AC$5,Table1[[#This Row],[reading score]]&lt;$AC$5,Table1[[#This Row],[writing score]]&lt;$AC$5), "Failed atleast one", "Passed all")</f>
        <v>Failed atleast one</v>
      </c>
      <c r="O864" t="str">
        <f>VLOOKUP(Table1[[#This Row],[average score]],$AE$9:$AG$13,3,TRUE)</f>
        <v>Poor</v>
      </c>
    </row>
    <row r="865" spans="1:15" x14ac:dyDescent="0.2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t="s">
        <v>899</v>
      </c>
      <c r="J865">
        <f>SUM(Table1[[#This Row],[math score]:[writing score]])</f>
        <v>222</v>
      </c>
      <c r="K865" s="1">
        <f>Table1[[#This Row],[total score]]/3</f>
        <v>74</v>
      </c>
      <c r="L865" s="6" t="str">
        <f>VLOOKUP(Table1[[#This Row],[average score]],$AE$9:$AF$13,2,TRUE)</f>
        <v>C</v>
      </c>
      <c r="M8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65" s="2" t="str">
        <f>IF(OR(Table1[[#This Row],[math score]]&lt;$AC$5,Table1[[#This Row],[reading score]]&lt;$AC$5,Table1[[#This Row],[writing score]]&lt;$AC$5), "Failed atleast one", "Passed all")</f>
        <v>Passed all</v>
      </c>
      <c r="O865" t="str">
        <f>VLOOKUP(Table1[[#This Row],[average score]],$AE$9:$AG$13,3,TRUE)</f>
        <v>Satisfactory</v>
      </c>
    </row>
    <row r="866" spans="1:15" x14ac:dyDescent="0.2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t="s">
        <v>900</v>
      </c>
      <c r="J866">
        <f>SUM(Table1[[#This Row],[math score]:[writing score]])</f>
        <v>281</v>
      </c>
      <c r="K866" s="1">
        <f>Table1[[#This Row],[total score]]/3</f>
        <v>93.666666666666671</v>
      </c>
      <c r="L866" s="6" t="str">
        <f>VLOOKUP(Table1[[#This Row],[average score]],$AE$9:$AF$13,2,TRUE)</f>
        <v>A</v>
      </c>
      <c r="M8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866" s="2" t="str">
        <f>IF(OR(Table1[[#This Row],[math score]]&lt;$AC$5,Table1[[#This Row],[reading score]]&lt;$AC$5,Table1[[#This Row],[writing score]]&lt;$AC$5), "Failed atleast one", "Passed all")</f>
        <v>Passed all</v>
      </c>
      <c r="O866" t="str">
        <f>VLOOKUP(Table1[[#This Row],[average score]],$AE$9:$AG$13,3,TRUE)</f>
        <v>Outstanding</v>
      </c>
    </row>
    <row r="867" spans="1:15" x14ac:dyDescent="0.2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t="s">
        <v>901</v>
      </c>
      <c r="J867">
        <f>SUM(Table1[[#This Row],[math score]:[writing score]])</f>
        <v>252</v>
      </c>
      <c r="K867" s="1">
        <f>Table1[[#This Row],[total score]]/3</f>
        <v>84</v>
      </c>
      <c r="L867" s="6" t="str">
        <f>VLOOKUP(Table1[[#This Row],[average score]],$AE$9:$AF$13,2,TRUE)</f>
        <v>B</v>
      </c>
      <c r="M8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67" s="2" t="str">
        <f>IF(OR(Table1[[#This Row],[math score]]&lt;$AC$5,Table1[[#This Row],[reading score]]&lt;$AC$5,Table1[[#This Row],[writing score]]&lt;$AC$5), "Failed atleast one", "Passed all")</f>
        <v>Passed all</v>
      </c>
      <c r="O867" t="str">
        <f>VLOOKUP(Table1[[#This Row],[average score]],$AE$9:$AG$13,3,TRUE)</f>
        <v xml:space="preserve">Good </v>
      </c>
    </row>
    <row r="868" spans="1:15" x14ac:dyDescent="0.2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t="s">
        <v>902</v>
      </c>
      <c r="J868">
        <f>SUM(Table1[[#This Row],[math score]:[writing score]])</f>
        <v>164</v>
      </c>
      <c r="K868" s="1">
        <f>Table1[[#This Row],[total score]]/3</f>
        <v>54.666666666666664</v>
      </c>
      <c r="L868" s="6" t="str">
        <f>VLOOKUP(Table1[[#This Row],[average score]],$AE$9:$AF$13,2,TRUE)</f>
        <v>F</v>
      </c>
      <c r="M8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8" s="2" t="str">
        <f>IF(OR(Table1[[#This Row],[math score]]&lt;$AC$5,Table1[[#This Row],[reading score]]&lt;$AC$5,Table1[[#This Row],[writing score]]&lt;$AC$5), "Failed atleast one", "Passed all")</f>
        <v>Failed atleast one</v>
      </c>
      <c r="O868" t="str">
        <f>VLOOKUP(Table1[[#This Row],[average score]],$AE$9:$AG$13,3,TRUE)</f>
        <v>Poor</v>
      </c>
    </row>
    <row r="869" spans="1:15" x14ac:dyDescent="0.2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t="s">
        <v>903</v>
      </c>
      <c r="J869">
        <f>SUM(Table1[[#This Row],[math score]:[writing score]])</f>
        <v>144</v>
      </c>
      <c r="K869" s="1">
        <f>Table1[[#This Row],[total score]]/3</f>
        <v>48</v>
      </c>
      <c r="L869" s="6" t="str">
        <f>VLOOKUP(Table1[[#This Row],[average score]],$AE$9:$AF$13,2,TRUE)</f>
        <v>F</v>
      </c>
      <c r="M8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69" s="2" t="str">
        <f>IF(OR(Table1[[#This Row],[math score]]&lt;$AC$5,Table1[[#This Row],[reading score]]&lt;$AC$5,Table1[[#This Row],[writing score]]&lt;$AC$5), "Failed atleast one", "Passed all")</f>
        <v>Failed atleast one</v>
      </c>
      <c r="O869" t="str">
        <f>VLOOKUP(Table1[[#This Row],[average score]],$AE$9:$AG$13,3,TRUE)</f>
        <v>Poor</v>
      </c>
    </row>
    <row r="870" spans="1:15" x14ac:dyDescent="0.2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t="s">
        <v>904</v>
      </c>
      <c r="J870">
        <f>SUM(Table1[[#This Row],[math score]:[writing score]])</f>
        <v>224</v>
      </c>
      <c r="K870" s="1">
        <f>Table1[[#This Row],[total score]]/3</f>
        <v>74.666666666666671</v>
      </c>
      <c r="L870" s="6" t="str">
        <f>VLOOKUP(Table1[[#This Row],[average score]],$AE$9:$AF$13,2,TRUE)</f>
        <v>C</v>
      </c>
      <c r="M8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70" s="2" t="str">
        <f>IF(OR(Table1[[#This Row],[math score]]&lt;$AC$5,Table1[[#This Row],[reading score]]&lt;$AC$5,Table1[[#This Row],[writing score]]&lt;$AC$5), "Failed atleast one", "Passed all")</f>
        <v>Passed all</v>
      </c>
      <c r="O870" t="str">
        <f>VLOOKUP(Table1[[#This Row],[average score]],$AE$9:$AG$13,3,TRUE)</f>
        <v>Satisfactory</v>
      </c>
    </row>
    <row r="871" spans="1:15" x14ac:dyDescent="0.2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t="s">
        <v>905</v>
      </c>
      <c r="J871">
        <f>SUM(Table1[[#This Row],[math score]:[writing score]])</f>
        <v>151</v>
      </c>
      <c r="K871" s="1">
        <f>Table1[[#This Row],[total score]]/3</f>
        <v>50.333333333333336</v>
      </c>
      <c r="L871" s="6" t="str">
        <f>VLOOKUP(Table1[[#This Row],[average score]],$AE$9:$AF$13,2,TRUE)</f>
        <v>F</v>
      </c>
      <c r="M8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71" s="2" t="str">
        <f>IF(OR(Table1[[#This Row],[math score]]&lt;$AC$5,Table1[[#This Row],[reading score]]&lt;$AC$5,Table1[[#This Row],[writing score]]&lt;$AC$5), "Failed atleast one", "Passed all")</f>
        <v>Failed atleast one</v>
      </c>
      <c r="O871" t="str">
        <f>VLOOKUP(Table1[[#This Row],[average score]],$AE$9:$AG$13,3,TRUE)</f>
        <v>Poor</v>
      </c>
    </row>
    <row r="872" spans="1:15" x14ac:dyDescent="0.2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t="s">
        <v>906</v>
      </c>
      <c r="J872">
        <f>SUM(Table1[[#This Row],[math score]:[writing score]])</f>
        <v>164</v>
      </c>
      <c r="K872" s="1">
        <f>Table1[[#This Row],[total score]]/3</f>
        <v>54.666666666666664</v>
      </c>
      <c r="L872" s="6" t="str">
        <f>VLOOKUP(Table1[[#This Row],[average score]],$AE$9:$AF$13,2,TRUE)</f>
        <v>F</v>
      </c>
      <c r="M8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72" s="2" t="str">
        <f>IF(OR(Table1[[#This Row],[math score]]&lt;$AC$5,Table1[[#This Row],[reading score]]&lt;$AC$5,Table1[[#This Row],[writing score]]&lt;$AC$5), "Failed atleast one", "Passed all")</f>
        <v>Failed atleast one</v>
      </c>
      <c r="O872" t="str">
        <f>VLOOKUP(Table1[[#This Row],[average score]],$AE$9:$AG$13,3,TRUE)</f>
        <v>Poor</v>
      </c>
    </row>
    <row r="873" spans="1:15" x14ac:dyDescent="0.2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t="s">
        <v>907</v>
      </c>
      <c r="J873">
        <f>SUM(Table1[[#This Row],[math score]:[writing score]])</f>
        <v>218</v>
      </c>
      <c r="K873" s="1">
        <f>Table1[[#This Row],[total score]]/3</f>
        <v>72.666666666666671</v>
      </c>
      <c r="L873" s="6" t="str">
        <f>VLOOKUP(Table1[[#This Row],[average score]],$AE$9:$AF$13,2,TRUE)</f>
        <v>C</v>
      </c>
      <c r="M8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73" s="2" t="str">
        <f>IF(OR(Table1[[#This Row],[math score]]&lt;$AC$5,Table1[[#This Row],[reading score]]&lt;$AC$5,Table1[[#This Row],[writing score]]&lt;$AC$5), "Failed atleast one", "Passed all")</f>
        <v>Passed all</v>
      </c>
      <c r="O873" t="str">
        <f>VLOOKUP(Table1[[#This Row],[average score]],$AE$9:$AG$13,3,TRUE)</f>
        <v>Satisfactory</v>
      </c>
    </row>
    <row r="874" spans="1:15" x14ac:dyDescent="0.2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t="s">
        <v>908</v>
      </c>
      <c r="J874">
        <f>SUM(Table1[[#This Row],[math score]:[writing score]])</f>
        <v>244</v>
      </c>
      <c r="K874" s="1">
        <f>Table1[[#This Row],[total score]]/3</f>
        <v>81.333333333333329</v>
      </c>
      <c r="L874" s="6" t="str">
        <f>VLOOKUP(Table1[[#This Row],[average score]],$AE$9:$AF$13,2,TRUE)</f>
        <v>B</v>
      </c>
      <c r="M8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74" s="2" t="str">
        <f>IF(OR(Table1[[#This Row],[math score]]&lt;$AC$5,Table1[[#This Row],[reading score]]&lt;$AC$5,Table1[[#This Row],[writing score]]&lt;$AC$5), "Failed atleast one", "Passed all")</f>
        <v>Passed all</v>
      </c>
      <c r="O874" t="str">
        <f>VLOOKUP(Table1[[#This Row],[average score]],$AE$9:$AG$13,3,TRUE)</f>
        <v xml:space="preserve">Good </v>
      </c>
    </row>
    <row r="875" spans="1:15" x14ac:dyDescent="0.2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t="s">
        <v>909</v>
      </c>
      <c r="J875">
        <f>SUM(Table1[[#This Row],[math score]:[writing score]])</f>
        <v>262</v>
      </c>
      <c r="K875" s="1">
        <f>Table1[[#This Row],[total score]]/3</f>
        <v>87.333333333333329</v>
      </c>
      <c r="L875" s="6" t="str">
        <f>VLOOKUP(Table1[[#This Row],[average score]],$AE$9:$AF$13,2,TRUE)</f>
        <v>B</v>
      </c>
      <c r="M8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75" s="2" t="str">
        <f>IF(OR(Table1[[#This Row],[math score]]&lt;$AC$5,Table1[[#This Row],[reading score]]&lt;$AC$5,Table1[[#This Row],[writing score]]&lt;$AC$5), "Failed atleast one", "Passed all")</f>
        <v>Passed all</v>
      </c>
      <c r="O875" t="str">
        <f>VLOOKUP(Table1[[#This Row],[average score]],$AE$9:$AG$13,3,TRUE)</f>
        <v xml:space="preserve">Good </v>
      </c>
    </row>
    <row r="876" spans="1:15" x14ac:dyDescent="0.2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t="s">
        <v>910</v>
      </c>
      <c r="J876">
        <f>SUM(Table1[[#This Row],[math score]:[writing score]])</f>
        <v>166</v>
      </c>
      <c r="K876" s="1">
        <f>Table1[[#This Row],[total score]]/3</f>
        <v>55.333333333333336</v>
      </c>
      <c r="L876" s="6" t="str">
        <f>VLOOKUP(Table1[[#This Row],[average score]],$AE$9:$AF$13,2,TRUE)</f>
        <v>F</v>
      </c>
      <c r="M8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76" s="2" t="str">
        <f>IF(OR(Table1[[#This Row],[math score]]&lt;$AC$5,Table1[[#This Row],[reading score]]&lt;$AC$5,Table1[[#This Row],[writing score]]&lt;$AC$5), "Failed atleast one", "Passed all")</f>
        <v>Failed atleast one</v>
      </c>
      <c r="O876" t="str">
        <f>VLOOKUP(Table1[[#This Row],[average score]],$AE$9:$AG$13,3,TRUE)</f>
        <v>Poor</v>
      </c>
    </row>
    <row r="877" spans="1:15" x14ac:dyDescent="0.2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t="s">
        <v>911</v>
      </c>
      <c r="J877">
        <f>SUM(Table1[[#This Row],[math score]:[writing score]])</f>
        <v>210</v>
      </c>
      <c r="K877" s="1">
        <f>Table1[[#This Row],[total score]]/3</f>
        <v>70</v>
      </c>
      <c r="L877" s="6" t="str">
        <f>VLOOKUP(Table1[[#This Row],[average score]],$AE$9:$AF$13,2,TRUE)</f>
        <v>C</v>
      </c>
      <c r="M8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77" s="2" t="str">
        <f>IF(OR(Table1[[#This Row],[math score]]&lt;$AC$5,Table1[[#This Row],[reading score]]&lt;$AC$5,Table1[[#This Row],[writing score]]&lt;$AC$5), "Failed atleast one", "Passed all")</f>
        <v>Passed all</v>
      </c>
      <c r="O877" t="str">
        <f>VLOOKUP(Table1[[#This Row],[average score]],$AE$9:$AG$13,3,TRUE)</f>
        <v>Satisfactory</v>
      </c>
    </row>
    <row r="878" spans="1:15" x14ac:dyDescent="0.2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t="s">
        <v>912</v>
      </c>
      <c r="J878">
        <f>SUM(Table1[[#This Row],[math score]:[writing score]])</f>
        <v>247</v>
      </c>
      <c r="K878" s="1">
        <f>Table1[[#This Row],[total score]]/3</f>
        <v>82.333333333333329</v>
      </c>
      <c r="L878" s="6" t="str">
        <f>VLOOKUP(Table1[[#This Row],[average score]],$AE$9:$AF$13,2,TRUE)</f>
        <v>B</v>
      </c>
      <c r="M8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78" s="2" t="str">
        <f>IF(OR(Table1[[#This Row],[math score]]&lt;$AC$5,Table1[[#This Row],[reading score]]&lt;$AC$5,Table1[[#This Row],[writing score]]&lt;$AC$5), "Failed atleast one", "Passed all")</f>
        <v>Passed all</v>
      </c>
      <c r="O878" t="str">
        <f>VLOOKUP(Table1[[#This Row],[average score]],$AE$9:$AG$13,3,TRUE)</f>
        <v xml:space="preserve">Good </v>
      </c>
    </row>
    <row r="879" spans="1:15" x14ac:dyDescent="0.2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t="s">
        <v>913</v>
      </c>
      <c r="J879">
        <f>SUM(Table1[[#This Row],[math score]:[writing score]])</f>
        <v>172</v>
      </c>
      <c r="K879" s="1">
        <f>Table1[[#This Row],[total score]]/3</f>
        <v>57.333333333333336</v>
      </c>
      <c r="L879" s="6" t="str">
        <f>VLOOKUP(Table1[[#This Row],[average score]],$AE$9:$AF$13,2,TRUE)</f>
        <v>F</v>
      </c>
      <c r="M8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79" s="2" t="str">
        <f>IF(OR(Table1[[#This Row],[math score]]&lt;$AC$5,Table1[[#This Row],[reading score]]&lt;$AC$5,Table1[[#This Row],[writing score]]&lt;$AC$5), "Failed atleast one", "Passed all")</f>
        <v>Failed atleast one</v>
      </c>
      <c r="O879" t="str">
        <f>VLOOKUP(Table1[[#This Row],[average score]],$AE$9:$AG$13,3,TRUE)</f>
        <v>Poor</v>
      </c>
    </row>
    <row r="880" spans="1:15" x14ac:dyDescent="0.2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t="s">
        <v>914</v>
      </c>
      <c r="J880">
        <f>SUM(Table1[[#This Row],[math score]:[writing score]])</f>
        <v>211</v>
      </c>
      <c r="K880" s="1">
        <f>Table1[[#This Row],[total score]]/3</f>
        <v>70.333333333333329</v>
      </c>
      <c r="L880" s="6" t="str">
        <f>VLOOKUP(Table1[[#This Row],[average score]],$AE$9:$AF$13,2,TRUE)</f>
        <v>C</v>
      </c>
      <c r="M8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80" s="2" t="str">
        <f>IF(OR(Table1[[#This Row],[math score]]&lt;$AC$5,Table1[[#This Row],[reading score]]&lt;$AC$5,Table1[[#This Row],[writing score]]&lt;$AC$5), "Failed atleast one", "Passed all")</f>
        <v>Failed atleast one</v>
      </c>
      <c r="O880" t="str">
        <f>VLOOKUP(Table1[[#This Row],[average score]],$AE$9:$AG$13,3,TRUE)</f>
        <v>Satisfactory</v>
      </c>
    </row>
    <row r="881" spans="1:15" x14ac:dyDescent="0.2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t="s">
        <v>915</v>
      </c>
      <c r="J881">
        <f>SUM(Table1[[#This Row],[math score]:[writing score]])</f>
        <v>214</v>
      </c>
      <c r="K881" s="1">
        <f>Table1[[#This Row],[total score]]/3</f>
        <v>71.333333333333329</v>
      </c>
      <c r="L881" s="6" t="str">
        <f>VLOOKUP(Table1[[#This Row],[average score]],$AE$9:$AF$13,2,TRUE)</f>
        <v>C</v>
      </c>
      <c r="M8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81" s="2" t="str">
        <f>IF(OR(Table1[[#This Row],[math score]]&lt;$AC$5,Table1[[#This Row],[reading score]]&lt;$AC$5,Table1[[#This Row],[writing score]]&lt;$AC$5), "Failed atleast one", "Passed all")</f>
        <v>Passed all</v>
      </c>
      <c r="O881" t="str">
        <f>VLOOKUP(Table1[[#This Row],[average score]],$AE$9:$AG$13,3,TRUE)</f>
        <v>Satisfactory</v>
      </c>
    </row>
    <row r="882" spans="1:15" x14ac:dyDescent="0.2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t="s">
        <v>916</v>
      </c>
      <c r="J882">
        <f>SUM(Table1[[#This Row],[math score]:[writing score]])</f>
        <v>193</v>
      </c>
      <c r="K882" s="1">
        <f>Table1[[#This Row],[total score]]/3</f>
        <v>64.333333333333329</v>
      </c>
      <c r="L882" s="6" t="str">
        <f>VLOOKUP(Table1[[#This Row],[average score]],$AE$9:$AF$13,2,TRUE)</f>
        <v>D</v>
      </c>
      <c r="M8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82" s="2" t="str">
        <f>IF(OR(Table1[[#This Row],[math score]]&lt;$AC$5,Table1[[#This Row],[reading score]]&lt;$AC$5,Table1[[#This Row],[writing score]]&lt;$AC$5), "Failed atleast one", "Passed all")</f>
        <v>Passed all</v>
      </c>
      <c r="O882" t="str">
        <f>VLOOKUP(Table1[[#This Row],[average score]],$AE$9:$AG$13,3,TRUE)</f>
        <v>Needs improvements</v>
      </c>
    </row>
    <row r="883" spans="1:15" x14ac:dyDescent="0.2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t="s">
        <v>917</v>
      </c>
      <c r="J883">
        <f>SUM(Table1[[#This Row],[math score]:[writing score]])</f>
        <v>211</v>
      </c>
      <c r="K883" s="1">
        <f>Table1[[#This Row],[total score]]/3</f>
        <v>70.333333333333329</v>
      </c>
      <c r="L883" s="6" t="str">
        <f>VLOOKUP(Table1[[#This Row],[average score]],$AE$9:$AF$13,2,TRUE)</f>
        <v>C</v>
      </c>
      <c r="M8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83" s="2" t="str">
        <f>IF(OR(Table1[[#This Row],[math score]]&lt;$AC$5,Table1[[#This Row],[reading score]]&lt;$AC$5,Table1[[#This Row],[writing score]]&lt;$AC$5), "Failed atleast one", "Passed all")</f>
        <v>Passed all</v>
      </c>
      <c r="O883" t="str">
        <f>VLOOKUP(Table1[[#This Row],[average score]],$AE$9:$AG$13,3,TRUE)</f>
        <v>Satisfactory</v>
      </c>
    </row>
    <row r="884" spans="1:15" x14ac:dyDescent="0.2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t="s">
        <v>918</v>
      </c>
      <c r="J884">
        <f>SUM(Table1[[#This Row],[math score]:[writing score]])</f>
        <v>208</v>
      </c>
      <c r="K884" s="1">
        <f>Table1[[#This Row],[total score]]/3</f>
        <v>69.333333333333329</v>
      </c>
      <c r="L884" s="6" t="str">
        <f>VLOOKUP(Table1[[#This Row],[average score]],$AE$9:$AF$13,2,TRUE)</f>
        <v>D</v>
      </c>
      <c r="M8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84" s="2" t="str">
        <f>IF(OR(Table1[[#This Row],[math score]]&lt;$AC$5,Table1[[#This Row],[reading score]]&lt;$AC$5,Table1[[#This Row],[writing score]]&lt;$AC$5), "Failed atleast one", "Passed all")</f>
        <v>Passed all</v>
      </c>
      <c r="O884" t="str">
        <f>VLOOKUP(Table1[[#This Row],[average score]],$AE$9:$AG$13,3,TRUE)</f>
        <v>Needs improvements</v>
      </c>
    </row>
    <row r="885" spans="1:15" x14ac:dyDescent="0.2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t="s">
        <v>919</v>
      </c>
      <c r="J885">
        <f>SUM(Table1[[#This Row],[math score]:[writing score]])</f>
        <v>145</v>
      </c>
      <c r="K885" s="1">
        <f>Table1[[#This Row],[total score]]/3</f>
        <v>48.333333333333336</v>
      </c>
      <c r="L885" s="6" t="str">
        <f>VLOOKUP(Table1[[#This Row],[average score]],$AE$9:$AF$13,2,TRUE)</f>
        <v>F</v>
      </c>
      <c r="M8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85" s="2" t="str">
        <f>IF(OR(Table1[[#This Row],[math score]]&lt;$AC$5,Table1[[#This Row],[reading score]]&lt;$AC$5,Table1[[#This Row],[writing score]]&lt;$AC$5), "Failed atleast one", "Passed all")</f>
        <v>Failed atleast one</v>
      </c>
      <c r="O885" t="str">
        <f>VLOOKUP(Table1[[#This Row],[average score]],$AE$9:$AG$13,3,TRUE)</f>
        <v>Poor</v>
      </c>
    </row>
    <row r="886" spans="1:15" x14ac:dyDescent="0.2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t="s">
        <v>920</v>
      </c>
      <c r="J886">
        <f>SUM(Table1[[#This Row],[math score]:[writing score]])</f>
        <v>156</v>
      </c>
      <c r="K886" s="1">
        <f>Table1[[#This Row],[total score]]/3</f>
        <v>52</v>
      </c>
      <c r="L886" s="6" t="str">
        <f>VLOOKUP(Table1[[#This Row],[average score]],$AE$9:$AF$13,2,TRUE)</f>
        <v>F</v>
      </c>
      <c r="M8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86" s="2" t="str">
        <f>IF(OR(Table1[[#This Row],[math score]]&lt;$AC$5,Table1[[#This Row],[reading score]]&lt;$AC$5,Table1[[#This Row],[writing score]]&lt;$AC$5), "Failed atleast one", "Passed all")</f>
        <v>Failed atleast one</v>
      </c>
      <c r="O886" t="str">
        <f>VLOOKUP(Table1[[#This Row],[average score]],$AE$9:$AG$13,3,TRUE)</f>
        <v>Poor</v>
      </c>
    </row>
    <row r="887" spans="1:15" x14ac:dyDescent="0.2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t="s">
        <v>921</v>
      </c>
      <c r="J887">
        <f>SUM(Table1[[#This Row],[math score]:[writing score]])</f>
        <v>218</v>
      </c>
      <c r="K887" s="1">
        <f>Table1[[#This Row],[total score]]/3</f>
        <v>72.666666666666671</v>
      </c>
      <c r="L887" s="6" t="str">
        <f>VLOOKUP(Table1[[#This Row],[average score]],$AE$9:$AF$13,2,TRUE)</f>
        <v>C</v>
      </c>
      <c r="M8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87" s="2" t="str">
        <f>IF(OR(Table1[[#This Row],[math score]]&lt;$AC$5,Table1[[#This Row],[reading score]]&lt;$AC$5,Table1[[#This Row],[writing score]]&lt;$AC$5), "Failed atleast one", "Passed all")</f>
        <v>Passed all</v>
      </c>
      <c r="O887" t="str">
        <f>VLOOKUP(Table1[[#This Row],[average score]],$AE$9:$AG$13,3,TRUE)</f>
        <v>Satisfactory</v>
      </c>
    </row>
    <row r="888" spans="1:15" x14ac:dyDescent="0.2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t="s">
        <v>922</v>
      </c>
      <c r="J888">
        <f>SUM(Table1[[#This Row],[math score]:[writing score]])</f>
        <v>288</v>
      </c>
      <c r="K888" s="1">
        <f>Table1[[#This Row],[total score]]/3</f>
        <v>96</v>
      </c>
      <c r="L888" s="6" t="str">
        <f>VLOOKUP(Table1[[#This Row],[average score]],$AE$9:$AF$13,2,TRUE)</f>
        <v>A</v>
      </c>
      <c r="M8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888" s="2" t="str">
        <f>IF(OR(Table1[[#This Row],[math score]]&lt;$AC$5,Table1[[#This Row],[reading score]]&lt;$AC$5,Table1[[#This Row],[writing score]]&lt;$AC$5), "Failed atleast one", "Passed all")</f>
        <v>Passed all</v>
      </c>
      <c r="O888" t="str">
        <f>VLOOKUP(Table1[[#This Row],[average score]],$AE$9:$AG$13,3,TRUE)</f>
        <v>Outstanding</v>
      </c>
    </row>
    <row r="889" spans="1:15" x14ac:dyDescent="0.2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t="s">
        <v>923</v>
      </c>
      <c r="J889">
        <f>SUM(Table1[[#This Row],[math score]:[writing score]])</f>
        <v>185</v>
      </c>
      <c r="K889" s="1">
        <f>Table1[[#This Row],[total score]]/3</f>
        <v>61.666666666666664</v>
      </c>
      <c r="L889" s="6" t="str">
        <f>VLOOKUP(Table1[[#This Row],[average score]],$AE$9:$AF$13,2,TRUE)</f>
        <v>D</v>
      </c>
      <c r="M8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89" s="2" t="str">
        <f>IF(OR(Table1[[#This Row],[math score]]&lt;$AC$5,Table1[[#This Row],[reading score]]&lt;$AC$5,Table1[[#This Row],[writing score]]&lt;$AC$5), "Failed atleast one", "Passed all")</f>
        <v>Failed atleast one</v>
      </c>
      <c r="O889" t="str">
        <f>VLOOKUP(Table1[[#This Row],[average score]],$AE$9:$AG$13,3,TRUE)</f>
        <v>Needs improvements</v>
      </c>
    </row>
    <row r="890" spans="1:15" x14ac:dyDescent="0.2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t="s">
        <v>924</v>
      </c>
      <c r="J890">
        <f>SUM(Table1[[#This Row],[math score]:[writing score]])</f>
        <v>208</v>
      </c>
      <c r="K890" s="1">
        <f>Table1[[#This Row],[total score]]/3</f>
        <v>69.333333333333329</v>
      </c>
      <c r="L890" s="6" t="str">
        <f>VLOOKUP(Table1[[#This Row],[average score]],$AE$9:$AF$13,2,TRUE)</f>
        <v>D</v>
      </c>
      <c r="M8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90" s="2" t="str">
        <f>IF(OR(Table1[[#This Row],[math score]]&lt;$AC$5,Table1[[#This Row],[reading score]]&lt;$AC$5,Table1[[#This Row],[writing score]]&lt;$AC$5), "Failed atleast one", "Passed all")</f>
        <v>Passed all</v>
      </c>
      <c r="O890" t="str">
        <f>VLOOKUP(Table1[[#This Row],[average score]],$AE$9:$AG$13,3,TRUE)</f>
        <v>Needs improvements</v>
      </c>
    </row>
    <row r="891" spans="1:15" x14ac:dyDescent="0.2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t="s">
        <v>925</v>
      </c>
      <c r="J891">
        <f>SUM(Table1[[#This Row],[math score]:[writing score]])</f>
        <v>143</v>
      </c>
      <c r="K891" s="1">
        <f>Table1[[#This Row],[total score]]/3</f>
        <v>47.666666666666664</v>
      </c>
      <c r="L891" s="6" t="str">
        <f>VLOOKUP(Table1[[#This Row],[average score]],$AE$9:$AF$13,2,TRUE)</f>
        <v>F</v>
      </c>
      <c r="M8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91" s="2" t="str">
        <f>IF(OR(Table1[[#This Row],[math score]]&lt;$AC$5,Table1[[#This Row],[reading score]]&lt;$AC$5,Table1[[#This Row],[writing score]]&lt;$AC$5), "Failed atleast one", "Passed all")</f>
        <v>Failed atleast one</v>
      </c>
      <c r="O891" t="str">
        <f>VLOOKUP(Table1[[#This Row],[average score]],$AE$9:$AG$13,3,TRUE)</f>
        <v>Poor</v>
      </c>
    </row>
    <row r="892" spans="1:15" x14ac:dyDescent="0.2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t="s">
        <v>926</v>
      </c>
      <c r="J892">
        <f>SUM(Table1[[#This Row],[math score]:[writing score]])</f>
        <v>262</v>
      </c>
      <c r="K892" s="1">
        <f>Table1[[#This Row],[total score]]/3</f>
        <v>87.333333333333329</v>
      </c>
      <c r="L892" s="6" t="str">
        <f>VLOOKUP(Table1[[#This Row],[average score]],$AE$9:$AF$13,2,TRUE)</f>
        <v>B</v>
      </c>
      <c r="M8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92" s="2" t="str">
        <f>IF(OR(Table1[[#This Row],[math score]]&lt;$AC$5,Table1[[#This Row],[reading score]]&lt;$AC$5,Table1[[#This Row],[writing score]]&lt;$AC$5), "Failed atleast one", "Passed all")</f>
        <v>Passed all</v>
      </c>
      <c r="O892" t="str">
        <f>VLOOKUP(Table1[[#This Row],[average score]],$AE$9:$AG$13,3,TRUE)</f>
        <v xml:space="preserve">Good </v>
      </c>
    </row>
    <row r="893" spans="1:15" x14ac:dyDescent="0.2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t="s">
        <v>927</v>
      </c>
      <c r="J893">
        <f>SUM(Table1[[#This Row],[math score]:[writing score]])</f>
        <v>262</v>
      </c>
      <c r="K893" s="1">
        <f>Table1[[#This Row],[total score]]/3</f>
        <v>87.333333333333329</v>
      </c>
      <c r="L893" s="6" t="str">
        <f>VLOOKUP(Table1[[#This Row],[average score]],$AE$9:$AF$13,2,TRUE)</f>
        <v>B</v>
      </c>
      <c r="M8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893" s="2" t="str">
        <f>IF(OR(Table1[[#This Row],[math score]]&lt;$AC$5,Table1[[#This Row],[reading score]]&lt;$AC$5,Table1[[#This Row],[writing score]]&lt;$AC$5), "Failed atleast one", "Passed all")</f>
        <v>Passed all</v>
      </c>
      <c r="O893" t="str">
        <f>VLOOKUP(Table1[[#This Row],[average score]],$AE$9:$AG$13,3,TRUE)</f>
        <v xml:space="preserve">Good </v>
      </c>
    </row>
    <row r="894" spans="1:15" x14ac:dyDescent="0.2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t="s">
        <v>928</v>
      </c>
      <c r="J894">
        <f>SUM(Table1[[#This Row],[math score]:[writing score]])</f>
        <v>190</v>
      </c>
      <c r="K894" s="1">
        <f>Table1[[#This Row],[total score]]/3</f>
        <v>63.333333333333336</v>
      </c>
      <c r="L894" s="6" t="str">
        <f>VLOOKUP(Table1[[#This Row],[average score]],$AE$9:$AF$13,2,TRUE)</f>
        <v>D</v>
      </c>
      <c r="M8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94" s="2" t="str">
        <f>IF(OR(Table1[[#This Row],[math score]]&lt;$AC$5,Table1[[#This Row],[reading score]]&lt;$AC$5,Table1[[#This Row],[writing score]]&lt;$AC$5), "Failed atleast one", "Passed all")</f>
        <v>Failed atleast one</v>
      </c>
      <c r="O894" t="str">
        <f>VLOOKUP(Table1[[#This Row],[average score]],$AE$9:$AG$13,3,TRUE)</f>
        <v>Needs improvements</v>
      </c>
    </row>
    <row r="895" spans="1:15" x14ac:dyDescent="0.2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t="s">
        <v>929</v>
      </c>
      <c r="J895">
        <f>SUM(Table1[[#This Row],[math score]:[writing score]])</f>
        <v>237</v>
      </c>
      <c r="K895" s="1">
        <f>Table1[[#This Row],[total score]]/3</f>
        <v>79</v>
      </c>
      <c r="L895" s="6" t="str">
        <f>VLOOKUP(Table1[[#This Row],[average score]],$AE$9:$AF$13,2,TRUE)</f>
        <v>C</v>
      </c>
      <c r="M8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95" s="2" t="str">
        <f>IF(OR(Table1[[#This Row],[math score]]&lt;$AC$5,Table1[[#This Row],[reading score]]&lt;$AC$5,Table1[[#This Row],[writing score]]&lt;$AC$5), "Failed atleast one", "Passed all")</f>
        <v>Passed all</v>
      </c>
      <c r="O895" t="str">
        <f>VLOOKUP(Table1[[#This Row],[average score]],$AE$9:$AG$13,3,TRUE)</f>
        <v>Satisfactory</v>
      </c>
    </row>
    <row r="896" spans="1:15" x14ac:dyDescent="0.2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t="s">
        <v>930</v>
      </c>
      <c r="J896">
        <f>SUM(Table1[[#This Row],[math score]:[writing score]])</f>
        <v>190</v>
      </c>
      <c r="K896" s="1">
        <f>Table1[[#This Row],[total score]]/3</f>
        <v>63.333333333333336</v>
      </c>
      <c r="L896" s="6" t="str">
        <f>VLOOKUP(Table1[[#This Row],[average score]],$AE$9:$AF$13,2,TRUE)</f>
        <v>D</v>
      </c>
      <c r="M8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896" s="2" t="str">
        <f>IF(OR(Table1[[#This Row],[math score]]&lt;$AC$5,Table1[[#This Row],[reading score]]&lt;$AC$5,Table1[[#This Row],[writing score]]&lt;$AC$5), "Failed atleast one", "Passed all")</f>
        <v>Failed atleast one</v>
      </c>
      <c r="O896" t="str">
        <f>VLOOKUP(Table1[[#This Row],[average score]],$AE$9:$AG$13,3,TRUE)</f>
        <v>Needs improvements</v>
      </c>
    </row>
    <row r="897" spans="1:15" x14ac:dyDescent="0.2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t="s">
        <v>931</v>
      </c>
      <c r="J897">
        <f>SUM(Table1[[#This Row],[math score]:[writing score]])</f>
        <v>104</v>
      </c>
      <c r="K897" s="1">
        <f>Table1[[#This Row],[total score]]/3</f>
        <v>34.666666666666664</v>
      </c>
      <c r="L897" s="6" t="str">
        <f>VLOOKUP(Table1[[#This Row],[average score]],$AE$9:$AF$13,2,TRUE)</f>
        <v>F</v>
      </c>
      <c r="M8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97" s="2" t="str">
        <f>IF(OR(Table1[[#This Row],[math score]]&lt;$AC$5,Table1[[#This Row],[reading score]]&lt;$AC$5,Table1[[#This Row],[writing score]]&lt;$AC$5), "Failed atleast one", "Passed all")</f>
        <v>Failed atleast one</v>
      </c>
      <c r="O897" t="str">
        <f>VLOOKUP(Table1[[#This Row],[average score]],$AE$9:$AG$13,3,TRUE)</f>
        <v>Poor</v>
      </c>
    </row>
    <row r="898" spans="1:15" x14ac:dyDescent="0.2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t="s">
        <v>932</v>
      </c>
      <c r="J898">
        <f>SUM(Table1[[#This Row],[math score]:[writing score]])</f>
        <v>92</v>
      </c>
      <c r="K898" s="1">
        <f>Table1[[#This Row],[total score]]/3</f>
        <v>30.666666666666668</v>
      </c>
      <c r="L898" s="6" t="str">
        <f>VLOOKUP(Table1[[#This Row],[average score]],$AE$9:$AF$13,2,TRUE)</f>
        <v>F</v>
      </c>
      <c r="M8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898" s="2" t="str">
        <f>IF(OR(Table1[[#This Row],[math score]]&lt;$AC$5,Table1[[#This Row],[reading score]]&lt;$AC$5,Table1[[#This Row],[writing score]]&lt;$AC$5), "Failed atleast one", "Passed all")</f>
        <v>Failed atleast one</v>
      </c>
      <c r="O898" t="str">
        <f>VLOOKUP(Table1[[#This Row],[average score]],$AE$9:$AG$13,3,TRUE)</f>
        <v>Poor</v>
      </c>
    </row>
    <row r="899" spans="1:15" x14ac:dyDescent="0.2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t="s">
        <v>933</v>
      </c>
      <c r="J899">
        <f>SUM(Table1[[#This Row],[math score]:[writing score]])</f>
        <v>220</v>
      </c>
      <c r="K899" s="1">
        <f>Table1[[#This Row],[total score]]/3</f>
        <v>73.333333333333329</v>
      </c>
      <c r="L899" s="6" t="str">
        <f>VLOOKUP(Table1[[#This Row],[average score]],$AE$9:$AF$13,2,TRUE)</f>
        <v>C</v>
      </c>
      <c r="M8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899" s="2" t="str">
        <f>IF(OR(Table1[[#This Row],[math score]]&lt;$AC$5,Table1[[#This Row],[reading score]]&lt;$AC$5,Table1[[#This Row],[writing score]]&lt;$AC$5), "Failed atleast one", "Passed all")</f>
        <v>Passed all</v>
      </c>
      <c r="O899" t="str">
        <f>VLOOKUP(Table1[[#This Row],[average score]],$AE$9:$AG$13,3,TRUE)</f>
        <v>Satisfactory</v>
      </c>
    </row>
    <row r="900" spans="1:15" x14ac:dyDescent="0.2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t="s">
        <v>934</v>
      </c>
      <c r="J900">
        <f>SUM(Table1[[#This Row],[math score]:[writing score]])</f>
        <v>184</v>
      </c>
      <c r="K900" s="1">
        <f>Table1[[#This Row],[total score]]/3</f>
        <v>61.333333333333336</v>
      </c>
      <c r="L900" s="6" t="str">
        <f>VLOOKUP(Table1[[#This Row],[average score]],$AE$9:$AF$13,2,TRUE)</f>
        <v>D</v>
      </c>
      <c r="M9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00" s="2" t="str">
        <f>IF(OR(Table1[[#This Row],[math score]]&lt;$AC$5,Table1[[#This Row],[reading score]]&lt;$AC$5,Table1[[#This Row],[writing score]]&lt;$AC$5), "Failed atleast one", "Passed all")</f>
        <v>Failed atleast one</v>
      </c>
      <c r="O900" t="str">
        <f>VLOOKUP(Table1[[#This Row],[average score]],$AE$9:$AG$13,3,TRUE)</f>
        <v>Needs improvements</v>
      </c>
    </row>
    <row r="901" spans="1:15" x14ac:dyDescent="0.2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t="s">
        <v>935</v>
      </c>
      <c r="J901">
        <f>SUM(Table1[[#This Row],[math score]:[writing score]])</f>
        <v>225</v>
      </c>
      <c r="K901" s="1">
        <f>Table1[[#This Row],[total score]]/3</f>
        <v>75</v>
      </c>
      <c r="L901" s="6" t="str">
        <f>VLOOKUP(Table1[[#This Row],[average score]],$AE$9:$AF$13,2,TRUE)</f>
        <v>C</v>
      </c>
      <c r="M9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01" s="2" t="str">
        <f>IF(OR(Table1[[#This Row],[math score]]&lt;$AC$5,Table1[[#This Row],[reading score]]&lt;$AC$5,Table1[[#This Row],[writing score]]&lt;$AC$5), "Failed atleast one", "Passed all")</f>
        <v>Passed all</v>
      </c>
      <c r="O901" t="str">
        <f>VLOOKUP(Table1[[#This Row],[average score]],$AE$9:$AG$13,3,TRUE)</f>
        <v>Satisfactory</v>
      </c>
    </row>
    <row r="902" spans="1:15" x14ac:dyDescent="0.2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t="s">
        <v>936</v>
      </c>
      <c r="J902">
        <f>SUM(Table1[[#This Row],[math score]:[writing score]])</f>
        <v>258</v>
      </c>
      <c r="K902" s="1">
        <f>Table1[[#This Row],[total score]]/3</f>
        <v>86</v>
      </c>
      <c r="L902" s="6" t="str">
        <f>VLOOKUP(Table1[[#This Row],[average score]],$AE$9:$AF$13,2,TRUE)</f>
        <v>B</v>
      </c>
      <c r="M90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02" s="2" t="str">
        <f>IF(OR(Table1[[#This Row],[math score]]&lt;$AC$5,Table1[[#This Row],[reading score]]&lt;$AC$5,Table1[[#This Row],[writing score]]&lt;$AC$5), "Failed atleast one", "Passed all")</f>
        <v>Passed all</v>
      </c>
      <c r="O902" t="str">
        <f>VLOOKUP(Table1[[#This Row],[average score]],$AE$9:$AG$13,3,TRUE)</f>
        <v xml:space="preserve">Good </v>
      </c>
    </row>
    <row r="903" spans="1:15" x14ac:dyDescent="0.2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t="s">
        <v>937</v>
      </c>
      <c r="J903">
        <f>SUM(Table1[[#This Row],[math score]:[writing score]])</f>
        <v>225</v>
      </c>
      <c r="K903" s="1">
        <f>Table1[[#This Row],[total score]]/3</f>
        <v>75</v>
      </c>
      <c r="L903" s="6" t="str">
        <f>VLOOKUP(Table1[[#This Row],[average score]],$AE$9:$AF$13,2,TRUE)</f>
        <v>C</v>
      </c>
      <c r="M90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03" s="2" t="str">
        <f>IF(OR(Table1[[#This Row],[math score]]&lt;$AC$5,Table1[[#This Row],[reading score]]&lt;$AC$5,Table1[[#This Row],[writing score]]&lt;$AC$5), "Failed atleast one", "Passed all")</f>
        <v>Passed all</v>
      </c>
      <c r="O903" t="str">
        <f>VLOOKUP(Table1[[#This Row],[average score]],$AE$9:$AG$13,3,TRUE)</f>
        <v>Satisfactory</v>
      </c>
    </row>
    <row r="904" spans="1:15" x14ac:dyDescent="0.2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t="s">
        <v>938</v>
      </c>
      <c r="J904">
        <f>SUM(Table1[[#This Row],[math score]:[writing score]])</f>
        <v>123</v>
      </c>
      <c r="K904" s="1">
        <f>Table1[[#This Row],[total score]]/3</f>
        <v>41</v>
      </c>
      <c r="L904" s="6" t="str">
        <f>VLOOKUP(Table1[[#This Row],[average score]],$AE$9:$AF$13,2,TRUE)</f>
        <v>F</v>
      </c>
      <c r="M90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04" s="2" t="str">
        <f>IF(OR(Table1[[#This Row],[math score]]&lt;$AC$5,Table1[[#This Row],[reading score]]&lt;$AC$5,Table1[[#This Row],[writing score]]&lt;$AC$5), "Failed atleast one", "Passed all")</f>
        <v>Failed atleast one</v>
      </c>
      <c r="O904" t="str">
        <f>VLOOKUP(Table1[[#This Row],[average score]],$AE$9:$AG$13,3,TRUE)</f>
        <v>Poor</v>
      </c>
    </row>
    <row r="905" spans="1:15" x14ac:dyDescent="0.2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t="s">
        <v>939</v>
      </c>
      <c r="J905">
        <f>SUM(Table1[[#This Row],[math score]:[writing score]])</f>
        <v>293</v>
      </c>
      <c r="K905" s="1">
        <f>Table1[[#This Row],[total score]]/3</f>
        <v>97.666666666666671</v>
      </c>
      <c r="L905" s="6" t="str">
        <f>VLOOKUP(Table1[[#This Row],[average score]],$AE$9:$AF$13,2,TRUE)</f>
        <v>A</v>
      </c>
      <c r="M90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05" s="2" t="str">
        <f>IF(OR(Table1[[#This Row],[math score]]&lt;$AC$5,Table1[[#This Row],[reading score]]&lt;$AC$5,Table1[[#This Row],[writing score]]&lt;$AC$5), "Failed atleast one", "Passed all")</f>
        <v>Passed all</v>
      </c>
      <c r="O905" t="str">
        <f>VLOOKUP(Table1[[#This Row],[average score]],$AE$9:$AG$13,3,TRUE)</f>
        <v>Outstanding</v>
      </c>
    </row>
    <row r="906" spans="1:15" x14ac:dyDescent="0.2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t="s">
        <v>940</v>
      </c>
      <c r="J906">
        <f>SUM(Table1[[#This Row],[math score]:[writing score]])</f>
        <v>235</v>
      </c>
      <c r="K906" s="1">
        <f>Table1[[#This Row],[total score]]/3</f>
        <v>78.333333333333329</v>
      </c>
      <c r="L906" s="6" t="str">
        <f>VLOOKUP(Table1[[#This Row],[average score]],$AE$9:$AF$13,2,TRUE)</f>
        <v>C</v>
      </c>
      <c r="M90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06" s="2" t="str">
        <f>IF(OR(Table1[[#This Row],[math score]]&lt;$AC$5,Table1[[#This Row],[reading score]]&lt;$AC$5,Table1[[#This Row],[writing score]]&lt;$AC$5), "Failed atleast one", "Passed all")</f>
        <v>Passed all</v>
      </c>
      <c r="O906" t="str">
        <f>VLOOKUP(Table1[[#This Row],[average score]],$AE$9:$AG$13,3,TRUE)</f>
        <v>Satisfactory</v>
      </c>
    </row>
    <row r="907" spans="1:15" x14ac:dyDescent="0.2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t="s">
        <v>941</v>
      </c>
      <c r="J907">
        <f>SUM(Table1[[#This Row],[math score]:[writing score]])</f>
        <v>242</v>
      </c>
      <c r="K907" s="1">
        <f>Table1[[#This Row],[total score]]/3</f>
        <v>80.666666666666671</v>
      </c>
      <c r="L907" s="6" t="str">
        <f>VLOOKUP(Table1[[#This Row],[average score]],$AE$9:$AF$13,2,TRUE)</f>
        <v>B</v>
      </c>
      <c r="M90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07" s="2" t="str">
        <f>IF(OR(Table1[[#This Row],[math score]]&lt;$AC$5,Table1[[#This Row],[reading score]]&lt;$AC$5,Table1[[#This Row],[writing score]]&lt;$AC$5), "Failed atleast one", "Passed all")</f>
        <v>Passed all</v>
      </c>
      <c r="O907" t="str">
        <f>VLOOKUP(Table1[[#This Row],[average score]],$AE$9:$AG$13,3,TRUE)</f>
        <v xml:space="preserve">Good </v>
      </c>
    </row>
    <row r="908" spans="1:15" x14ac:dyDescent="0.2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t="s">
        <v>942</v>
      </c>
      <c r="J908">
        <f>SUM(Table1[[#This Row],[math score]:[writing score]])</f>
        <v>156</v>
      </c>
      <c r="K908" s="1">
        <f>Table1[[#This Row],[total score]]/3</f>
        <v>52</v>
      </c>
      <c r="L908" s="6" t="str">
        <f>VLOOKUP(Table1[[#This Row],[average score]],$AE$9:$AF$13,2,TRUE)</f>
        <v>F</v>
      </c>
      <c r="M90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08" s="2" t="str">
        <f>IF(OR(Table1[[#This Row],[math score]]&lt;$AC$5,Table1[[#This Row],[reading score]]&lt;$AC$5,Table1[[#This Row],[writing score]]&lt;$AC$5), "Failed atleast one", "Passed all")</f>
        <v>Failed atleast one</v>
      </c>
      <c r="O908" t="str">
        <f>VLOOKUP(Table1[[#This Row],[average score]],$AE$9:$AG$13,3,TRUE)</f>
        <v>Poor</v>
      </c>
    </row>
    <row r="909" spans="1:15" x14ac:dyDescent="0.2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t="s">
        <v>943</v>
      </c>
      <c r="J909">
        <f>SUM(Table1[[#This Row],[math score]:[writing score]])</f>
        <v>254</v>
      </c>
      <c r="K909" s="1">
        <f>Table1[[#This Row],[total score]]/3</f>
        <v>84.666666666666671</v>
      </c>
      <c r="L909" s="6" t="str">
        <f>VLOOKUP(Table1[[#This Row],[average score]],$AE$9:$AF$13,2,TRUE)</f>
        <v>B</v>
      </c>
      <c r="M90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09" s="2" t="str">
        <f>IF(OR(Table1[[#This Row],[math score]]&lt;$AC$5,Table1[[#This Row],[reading score]]&lt;$AC$5,Table1[[#This Row],[writing score]]&lt;$AC$5), "Failed atleast one", "Passed all")</f>
        <v>Passed all</v>
      </c>
      <c r="O909" t="str">
        <f>VLOOKUP(Table1[[#This Row],[average score]],$AE$9:$AG$13,3,TRUE)</f>
        <v xml:space="preserve">Good </v>
      </c>
    </row>
    <row r="910" spans="1:15" x14ac:dyDescent="0.2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t="s">
        <v>944</v>
      </c>
      <c r="J910">
        <f>SUM(Table1[[#This Row],[math score]:[writing score]])</f>
        <v>214</v>
      </c>
      <c r="K910" s="1">
        <f>Table1[[#This Row],[total score]]/3</f>
        <v>71.333333333333329</v>
      </c>
      <c r="L910" s="6" t="str">
        <f>VLOOKUP(Table1[[#This Row],[average score]],$AE$9:$AF$13,2,TRUE)</f>
        <v>C</v>
      </c>
      <c r="M91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10" s="2" t="str">
        <f>IF(OR(Table1[[#This Row],[math score]]&lt;$AC$5,Table1[[#This Row],[reading score]]&lt;$AC$5,Table1[[#This Row],[writing score]]&lt;$AC$5), "Failed atleast one", "Passed all")</f>
        <v>Passed all</v>
      </c>
      <c r="O910" t="str">
        <f>VLOOKUP(Table1[[#This Row],[average score]],$AE$9:$AG$13,3,TRUE)</f>
        <v>Satisfactory</v>
      </c>
    </row>
    <row r="911" spans="1:15" x14ac:dyDescent="0.2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t="s">
        <v>945</v>
      </c>
      <c r="J911">
        <f>SUM(Table1[[#This Row],[math score]:[writing score]])</f>
        <v>204</v>
      </c>
      <c r="K911" s="1">
        <f>Table1[[#This Row],[total score]]/3</f>
        <v>68</v>
      </c>
      <c r="L911" s="6" t="str">
        <f>VLOOKUP(Table1[[#This Row],[average score]],$AE$9:$AF$13,2,TRUE)</f>
        <v>D</v>
      </c>
      <c r="M91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11" s="2" t="str">
        <f>IF(OR(Table1[[#This Row],[math score]]&lt;$AC$5,Table1[[#This Row],[reading score]]&lt;$AC$5,Table1[[#This Row],[writing score]]&lt;$AC$5), "Failed atleast one", "Passed all")</f>
        <v>Passed all</v>
      </c>
      <c r="O911" t="str">
        <f>VLOOKUP(Table1[[#This Row],[average score]],$AE$9:$AG$13,3,TRUE)</f>
        <v>Needs improvements</v>
      </c>
    </row>
    <row r="912" spans="1:15" x14ac:dyDescent="0.2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t="s">
        <v>946</v>
      </c>
      <c r="J912">
        <f>SUM(Table1[[#This Row],[math score]:[writing score]])</f>
        <v>140</v>
      </c>
      <c r="K912" s="1">
        <f>Table1[[#This Row],[total score]]/3</f>
        <v>46.666666666666664</v>
      </c>
      <c r="L912" s="6" t="str">
        <f>VLOOKUP(Table1[[#This Row],[average score]],$AE$9:$AF$13,2,TRUE)</f>
        <v>F</v>
      </c>
      <c r="M91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12" s="2" t="str">
        <f>IF(OR(Table1[[#This Row],[math score]]&lt;$AC$5,Table1[[#This Row],[reading score]]&lt;$AC$5,Table1[[#This Row],[writing score]]&lt;$AC$5), "Failed atleast one", "Passed all")</f>
        <v>Failed atleast one</v>
      </c>
      <c r="O912" t="str">
        <f>VLOOKUP(Table1[[#This Row],[average score]],$AE$9:$AG$13,3,TRUE)</f>
        <v>Poor</v>
      </c>
    </row>
    <row r="913" spans="1:15" x14ac:dyDescent="0.2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t="s">
        <v>947</v>
      </c>
      <c r="J913">
        <f>SUM(Table1[[#This Row],[math score]:[writing score]])</f>
        <v>235</v>
      </c>
      <c r="K913" s="1">
        <f>Table1[[#This Row],[total score]]/3</f>
        <v>78.333333333333329</v>
      </c>
      <c r="L913" s="6" t="str">
        <f>VLOOKUP(Table1[[#This Row],[average score]],$AE$9:$AF$13,2,TRUE)</f>
        <v>C</v>
      </c>
      <c r="M91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13" s="2" t="str">
        <f>IF(OR(Table1[[#This Row],[math score]]&lt;$AC$5,Table1[[#This Row],[reading score]]&lt;$AC$5,Table1[[#This Row],[writing score]]&lt;$AC$5), "Failed atleast one", "Passed all")</f>
        <v>Passed all</v>
      </c>
      <c r="O913" t="str">
        <f>VLOOKUP(Table1[[#This Row],[average score]],$AE$9:$AG$13,3,TRUE)</f>
        <v>Satisfactory</v>
      </c>
    </row>
    <row r="914" spans="1:15" x14ac:dyDescent="0.2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t="s">
        <v>948</v>
      </c>
      <c r="J914">
        <f>SUM(Table1[[#This Row],[math score]:[writing score]])</f>
        <v>179</v>
      </c>
      <c r="K914" s="1">
        <f>Table1[[#This Row],[total score]]/3</f>
        <v>59.666666666666664</v>
      </c>
      <c r="L914" s="6" t="str">
        <f>VLOOKUP(Table1[[#This Row],[average score]],$AE$9:$AF$13,2,TRUE)</f>
        <v>F</v>
      </c>
      <c r="M91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14" s="2" t="str">
        <f>IF(OR(Table1[[#This Row],[math score]]&lt;$AC$5,Table1[[#This Row],[reading score]]&lt;$AC$5,Table1[[#This Row],[writing score]]&lt;$AC$5), "Failed atleast one", "Passed all")</f>
        <v>Failed atleast one</v>
      </c>
      <c r="O914" t="str">
        <f>VLOOKUP(Table1[[#This Row],[average score]],$AE$9:$AG$13,3,TRUE)</f>
        <v>Poor</v>
      </c>
    </row>
    <row r="915" spans="1:15" x14ac:dyDescent="0.2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t="s">
        <v>949</v>
      </c>
      <c r="J915">
        <f>SUM(Table1[[#This Row],[math score]:[writing score]])</f>
        <v>175</v>
      </c>
      <c r="K915" s="1">
        <f>Table1[[#This Row],[total score]]/3</f>
        <v>58.333333333333336</v>
      </c>
      <c r="L915" s="6" t="str">
        <f>VLOOKUP(Table1[[#This Row],[average score]],$AE$9:$AF$13,2,TRUE)</f>
        <v>F</v>
      </c>
      <c r="M91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15" s="2" t="str">
        <f>IF(OR(Table1[[#This Row],[math score]]&lt;$AC$5,Table1[[#This Row],[reading score]]&lt;$AC$5,Table1[[#This Row],[writing score]]&lt;$AC$5), "Failed atleast one", "Passed all")</f>
        <v>Failed atleast one</v>
      </c>
      <c r="O915" t="str">
        <f>VLOOKUP(Table1[[#This Row],[average score]],$AE$9:$AG$13,3,TRUE)</f>
        <v>Poor</v>
      </c>
    </row>
    <row r="916" spans="1:15" x14ac:dyDescent="0.2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t="s">
        <v>950</v>
      </c>
      <c r="J916">
        <f>SUM(Table1[[#This Row],[math score]:[writing score]])</f>
        <v>162</v>
      </c>
      <c r="K916" s="1">
        <f>Table1[[#This Row],[total score]]/3</f>
        <v>54</v>
      </c>
      <c r="L916" s="6" t="str">
        <f>VLOOKUP(Table1[[#This Row],[average score]],$AE$9:$AF$13,2,TRUE)</f>
        <v>F</v>
      </c>
      <c r="M91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16" s="2" t="str">
        <f>IF(OR(Table1[[#This Row],[math score]]&lt;$AC$5,Table1[[#This Row],[reading score]]&lt;$AC$5,Table1[[#This Row],[writing score]]&lt;$AC$5), "Failed atleast one", "Passed all")</f>
        <v>Failed atleast one</v>
      </c>
      <c r="O916" t="str">
        <f>VLOOKUP(Table1[[#This Row],[average score]],$AE$9:$AG$13,3,TRUE)</f>
        <v>Poor</v>
      </c>
    </row>
    <row r="917" spans="1:15" x14ac:dyDescent="0.2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t="s">
        <v>951</v>
      </c>
      <c r="J917">
        <f>SUM(Table1[[#This Row],[math score]:[writing score]])</f>
        <v>204</v>
      </c>
      <c r="K917" s="1">
        <f>Table1[[#This Row],[total score]]/3</f>
        <v>68</v>
      </c>
      <c r="L917" s="6" t="str">
        <f>VLOOKUP(Table1[[#This Row],[average score]],$AE$9:$AF$13,2,TRUE)</f>
        <v>D</v>
      </c>
      <c r="M91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17" s="2" t="str">
        <f>IF(OR(Table1[[#This Row],[math score]]&lt;$AC$5,Table1[[#This Row],[reading score]]&lt;$AC$5,Table1[[#This Row],[writing score]]&lt;$AC$5), "Failed atleast one", "Passed all")</f>
        <v>Passed all</v>
      </c>
      <c r="O917" t="str">
        <f>VLOOKUP(Table1[[#This Row],[average score]],$AE$9:$AG$13,3,TRUE)</f>
        <v>Needs improvements</v>
      </c>
    </row>
    <row r="918" spans="1:15" x14ac:dyDescent="0.2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t="s">
        <v>952</v>
      </c>
      <c r="J918">
        <f>SUM(Table1[[#This Row],[math score]:[writing score]])</f>
        <v>300</v>
      </c>
      <c r="K918" s="1">
        <f>Table1[[#This Row],[total score]]/3</f>
        <v>100</v>
      </c>
      <c r="L918" s="6" t="str">
        <f>VLOOKUP(Table1[[#This Row],[average score]],$AE$9:$AF$13,2,TRUE)</f>
        <v>A</v>
      </c>
      <c r="M91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18" s="2" t="str">
        <f>IF(OR(Table1[[#This Row],[math score]]&lt;$AC$5,Table1[[#This Row],[reading score]]&lt;$AC$5,Table1[[#This Row],[writing score]]&lt;$AC$5), "Failed atleast one", "Passed all")</f>
        <v>Passed all</v>
      </c>
      <c r="O918" t="str">
        <f>VLOOKUP(Table1[[#This Row],[average score]],$AE$9:$AG$13,3,TRUE)</f>
        <v>Outstanding</v>
      </c>
    </row>
    <row r="919" spans="1:15" x14ac:dyDescent="0.2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t="s">
        <v>953</v>
      </c>
      <c r="J919">
        <f>SUM(Table1[[#This Row],[math score]:[writing score]])</f>
        <v>157</v>
      </c>
      <c r="K919" s="1">
        <f>Table1[[#This Row],[total score]]/3</f>
        <v>52.333333333333336</v>
      </c>
      <c r="L919" s="6" t="str">
        <f>VLOOKUP(Table1[[#This Row],[average score]],$AE$9:$AF$13,2,TRUE)</f>
        <v>F</v>
      </c>
      <c r="M91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19" s="2" t="str">
        <f>IF(OR(Table1[[#This Row],[math score]]&lt;$AC$5,Table1[[#This Row],[reading score]]&lt;$AC$5,Table1[[#This Row],[writing score]]&lt;$AC$5), "Failed atleast one", "Passed all")</f>
        <v>Failed atleast one</v>
      </c>
      <c r="O919" t="str">
        <f>VLOOKUP(Table1[[#This Row],[average score]],$AE$9:$AG$13,3,TRUE)</f>
        <v>Poor</v>
      </c>
    </row>
    <row r="920" spans="1:15" x14ac:dyDescent="0.2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t="s">
        <v>954</v>
      </c>
      <c r="J920">
        <f>SUM(Table1[[#This Row],[math score]:[writing score]])</f>
        <v>214</v>
      </c>
      <c r="K920" s="1">
        <f>Table1[[#This Row],[total score]]/3</f>
        <v>71.333333333333329</v>
      </c>
      <c r="L920" s="6" t="str">
        <f>VLOOKUP(Table1[[#This Row],[average score]],$AE$9:$AF$13,2,TRUE)</f>
        <v>C</v>
      </c>
      <c r="M92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20" s="2" t="str">
        <f>IF(OR(Table1[[#This Row],[math score]]&lt;$AC$5,Table1[[#This Row],[reading score]]&lt;$AC$5,Table1[[#This Row],[writing score]]&lt;$AC$5), "Failed atleast one", "Passed all")</f>
        <v>Failed atleast one</v>
      </c>
      <c r="O920" t="str">
        <f>VLOOKUP(Table1[[#This Row],[average score]],$AE$9:$AG$13,3,TRUE)</f>
        <v>Satisfactory</v>
      </c>
    </row>
    <row r="921" spans="1:15" x14ac:dyDescent="0.2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t="s">
        <v>955</v>
      </c>
      <c r="J921">
        <f>SUM(Table1[[#This Row],[math score]:[writing score]])</f>
        <v>278</v>
      </c>
      <c r="K921" s="1">
        <f>Table1[[#This Row],[total score]]/3</f>
        <v>92.666666666666671</v>
      </c>
      <c r="L921" s="6" t="str">
        <f>VLOOKUP(Table1[[#This Row],[average score]],$AE$9:$AF$13,2,TRUE)</f>
        <v>A</v>
      </c>
      <c r="M92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21" s="2" t="str">
        <f>IF(OR(Table1[[#This Row],[math score]]&lt;$AC$5,Table1[[#This Row],[reading score]]&lt;$AC$5,Table1[[#This Row],[writing score]]&lt;$AC$5), "Failed atleast one", "Passed all")</f>
        <v>Passed all</v>
      </c>
      <c r="O921" t="str">
        <f>VLOOKUP(Table1[[#This Row],[average score]],$AE$9:$AG$13,3,TRUE)</f>
        <v>Outstanding</v>
      </c>
    </row>
    <row r="922" spans="1:15" x14ac:dyDescent="0.2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t="s">
        <v>956</v>
      </c>
      <c r="J922">
        <f>SUM(Table1[[#This Row],[math score]:[writing score]])</f>
        <v>206</v>
      </c>
      <c r="K922" s="1">
        <f>Table1[[#This Row],[total score]]/3</f>
        <v>68.666666666666671</v>
      </c>
      <c r="L922" s="6" t="str">
        <f>VLOOKUP(Table1[[#This Row],[average score]],$AE$9:$AF$13,2,TRUE)</f>
        <v>D</v>
      </c>
      <c r="M92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22" s="2" t="str">
        <f>IF(OR(Table1[[#This Row],[math score]]&lt;$AC$5,Table1[[#This Row],[reading score]]&lt;$AC$5,Table1[[#This Row],[writing score]]&lt;$AC$5), "Failed atleast one", "Passed all")</f>
        <v>Passed all</v>
      </c>
      <c r="O922" t="str">
        <f>VLOOKUP(Table1[[#This Row],[average score]],$AE$9:$AG$13,3,TRUE)</f>
        <v>Needs improvements</v>
      </c>
    </row>
    <row r="923" spans="1:15" x14ac:dyDescent="0.2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t="s">
        <v>957</v>
      </c>
      <c r="J923">
        <f>SUM(Table1[[#This Row],[math score]:[writing score]])</f>
        <v>134</v>
      </c>
      <c r="K923" s="1">
        <f>Table1[[#This Row],[total score]]/3</f>
        <v>44.666666666666664</v>
      </c>
      <c r="L923" s="6" t="str">
        <f>VLOOKUP(Table1[[#This Row],[average score]],$AE$9:$AF$13,2,TRUE)</f>
        <v>F</v>
      </c>
      <c r="M92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23" s="2" t="str">
        <f>IF(OR(Table1[[#This Row],[math score]]&lt;$AC$5,Table1[[#This Row],[reading score]]&lt;$AC$5,Table1[[#This Row],[writing score]]&lt;$AC$5), "Failed atleast one", "Passed all")</f>
        <v>Failed atleast one</v>
      </c>
      <c r="O923" t="str">
        <f>VLOOKUP(Table1[[#This Row],[average score]],$AE$9:$AG$13,3,TRUE)</f>
        <v>Poor</v>
      </c>
    </row>
    <row r="924" spans="1:15" x14ac:dyDescent="0.2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t="s">
        <v>958</v>
      </c>
      <c r="J924">
        <f>SUM(Table1[[#This Row],[math score]:[writing score]])</f>
        <v>204</v>
      </c>
      <c r="K924" s="1">
        <f>Table1[[#This Row],[total score]]/3</f>
        <v>68</v>
      </c>
      <c r="L924" s="6" t="str">
        <f>VLOOKUP(Table1[[#This Row],[average score]],$AE$9:$AF$13,2,TRUE)</f>
        <v>D</v>
      </c>
      <c r="M92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24" s="2" t="str">
        <f>IF(OR(Table1[[#This Row],[math score]]&lt;$AC$5,Table1[[#This Row],[reading score]]&lt;$AC$5,Table1[[#This Row],[writing score]]&lt;$AC$5), "Failed atleast one", "Passed all")</f>
        <v>Passed all</v>
      </c>
      <c r="O924" t="str">
        <f>VLOOKUP(Table1[[#This Row],[average score]],$AE$9:$AG$13,3,TRUE)</f>
        <v>Needs improvements</v>
      </c>
    </row>
    <row r="925" spans="1:15" x14ac:dyDescent="0.2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t="s">
        <v>959</v>
      </c>
      <c r="J925">
        <f>SUM(Table1[[#This Row],[math score]:[writing score]])</f>
        <v>184</v>
      </c>
      <c r="K925" s="1">
        <f>Table1[[#This Row],[total score]]/3</f>
        <v>61.333333333333336</v>
      </c>
      <c r="L925" s="6" t="str">
        <f>VLOOKUP(Table1[[#This Row],[average score]],$AE$9:$AF$13,2,TRUE)</f>
        <v>D</v>
      </c>
      <c r="M92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25" s="2" t="str">
        <f>IF(OR(Table1[[#This Row],[math score]]&lt;$AC$5,Table1[[#This Row],[reading score]]&lt;$AC$5,Table1[[#This Row],[writing score]]&lt;$AC$5), "Failed atleast one", "Passed all")</f>
        <v>Failed atleast one</v>
      </c>
      <c r="O925" t="str">
        <f>VLOOKUP(Table1[[#This Row],[average score]],$AE$9:$AG$13,3,TRUE)</f>
        <v>Needs improvements</v>
      </c>
    </row>
    <row r="926" spans="1:15" x14ac:dyDescent="0.2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t="s">
        <v>960</v>
      </c>
      <c r="J926">
        <f>SUM(Table1[[#This Row],[math score]:[writing score]])</f>
        <v>213</v>
      </c>
      <c r="K926" s="1">
        <f>Table1[[#This Row],[total score]]/3</f>
        <v>71</v>
      </c>
      <c r="L926" s="6" t="str">
        <f>VLOOKUP(Table1[[#This Row],[average score]],$AE$9:$AF$13,2,TRUE)</f>
        <v>C</v>
      </c>
      <c r="M92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26" s="2" t="str">
        <f>IF(OR(Table1[[#This Row],[math score]]&lt;$AC$5,Table1[[#This Row],[reading score]]&lt;$AC$5,Table1[[#This Row],[writing score]]&lt;$AC$5), "Failed atleast one", "Passed all")</f>
        <v>Passed all</v>
      </c>
      <c r="O926" t="str">
        <f>VLOOKUP(Table1[[#This Row],[average score]],$AE$9:$AG$13,3,TRUE)</f>
        <v>Satisfactory</v>
      </c>
    </row>
    <row r="927" spans="1:15" x14ac:dyDescent="0.2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t="s">
        <v>961</v>
      </c>
      <c r="J927">
        <f>SUM(Table1[[#This Row],[math score]:[writing score]])</f>
        <v>198</v>
      </c>
      <c r="K927" s="1">
        <f>Table1[[#This Row],[total score]]/3</f>
        <v>66</v>
      </c>
      <c r="L927" s="6" t="str">
        <f>VLOOKUP(Table1[[#This Row],[average score]],$AE$9:$AF$13,2,TRUE)</f>
        <v>D</v>
      </c>
      <c r="M92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27" s="2" t="str">
        <f>IF(OR(Table1[[#This Row],[math score]]&lt;$AC$5,Table1[[#This Row],[reading score]]&lt;$AC$5,Table1[[#This Row],[writing score]]&lt;$AC$5), "Failed atleast one", "Passed all")</f>
        <v>Passed all</v>
      </c>
      <c r="O927" t="str">
        <f>VLOOKUP(Table1[[#This Row],[average score]],$AE$9:$AG$13,3,TRUE)</f>
        <v>Needs improvements</v>
      </c>
    </row>
    <row r="928" spans="1:15" x14ac:dyDescent="0.2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t="s">
        <v>962</v>
      </c>
      <c r="J928">
        <f>SUM(Table1[[#This Row],[math score]:[writing score]])</f>
        <v>172</v>
      </c>
      <c r="K928" s="1">
        <f>Table1[[#This Row],[total score]]/3</f>
        <v>57.333333333333336</v>
      </c>
      <c r="L928" s="6" t="str">
        <f>VLOOKUP(Table1[[#This Row],[average score]],$AE$9:$AF$13,2,TRUE)</f>
        <v>F</v>
      </c>
      <c r="M92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28" s="2" t="str">
        <f>IF(OR(Table1[[#This Row],[math score]]&lt;$AC$5,Table1[[#This Row],[reading score]]&lt;$AC$5,Table1[[#This Row],[writing score]]&lt;$AC$5), "Failed atleast one", "Passed all")</f>
        <v>Failed atleast one</v>
      </c>
      <c r="O928" t="str">
        <f>VLOOKUP(Table1[[#This Row],[average score]],$AE$9:$AG$13,3,TRUE)</f>
        <v>Poor</v>
      </c>
    </row>
    <row r="929" spans="1:15" x14ac:dyDescent="0.2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t="s">
        <v>963</v>
      </c>
      <c r="J929">
        <f>SUM(Table1[[#This Row],[math score]:[writing score]])</f>
        <v>197</v>
      </c>
      <c r="K929" s="1">
        <f>Table1[[#This Row],[total score]]/3</f>
        <v>65.666666666666671</v>
      </c>
      <c r="L929" s="6" t="str">
        <f>VLOOKUP(Table1[[#This Row],[average score]],$AE$9:$AF$13,2,TRUE)</f>
        <v>D</v>
      </c>
      <c r="M92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29" s="2" t="str">
        <f>IF(OR(Table1[[#This Row],[math score]]&lt;$AC$5,Table1[[#This Row],[reading score]]&lt;$AC$5,Table1[[#This Row],[writing score]]&lt;$AC$5), "Failed atleast one", "Passed all")</f>
        <v>Passed all</v>
      </c>
      <c r="O929" t="str">
        <f>VLOOKUP(Table1[[#This Row],[average score]],$AE$9:$AG$13,3,TRUE)</f>
        <v>Needs improvements</v>
      </c>
    </row>
    <row r="930" spans="1:15" x14ac:dyDescent="0.2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t="s">
        <v>964</v>
      </c>
      <c r="J930">
        <f>SUM(Table1[[#This Row],[math score]:[writing score]])</f>
        <v>133</v>
      </c>
      <c r="K930" s="1">
        <f>Table1[[#This Row],[total score]]/3</f>
        <v>44.333333333333336</v>
      </c>
      <c r="L930" s="6" t="str">
        <f>VLOOKUP(Table1[[#This Row],[average score]],$AE$9:$AF$13,2,TRUE)</f>
        <v>F</v>
      </c>
      <c r="M93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30" s="2" t="str">
        <f>IF(OR(Table1[[#This Row],[math score]]&lt;$AC$5,Table1[[#This Row],[reading score]]&lt;$AC$5,Table1[[#This Row],[writing score]]&lt;$AC$5), "Failed atleast one", "Passed all")</f>
        <v>Failed atleast one</v>
      </c>
      <c r="O930" t="str">
        <f>VLOOKUP(Table1[[#This Row],[average score]],$AE$9:$AG$13,3,TRUE)</f>
        <v>Poor</v>
      </c>
    </row>
    <row r="931" spans="1:15" x14ac:dyDescent="0.2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t="s">
        <v>965</v>
      </c>
      <c r="J931">
        <f>SUM(Table1[[#This Row],[math score]:[writing score]])</f>
        <v>155</v>
      </c>
      <c r="K931" s="1">
        <f>Table1[[#This Row],[total score]]/3</f>
        <v>51.666666666666664</v>
      </c>
      <c r="L931" s="6" t="str">
        <f>VLOOKUP(Table1[[#This Row],[average score]],$AE$9:$AF$13,2,TRUE)</f>
        <v>F</v>
      </c>
      <c r="M93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31" s="2" t="str">
        <f>IF(OR(Table1[[#This Row],[math score]]&lt;$AC$5,Table1[[#This Row],[reading score]]&lt;$AC$5,Table1[[#This Row],[writing score]]&lt;$AC$5), "Failed atleast one", "Passed all")</f>
        <v>Failed atleast one</v>
      </c>
      <c r="O931" t="str">
        <f>VLOOKUP(Table1[[#This Row],[average score]],$AE$9:$AG$13,3,TRUE)</f>
        <v>Poor</v>
      </c>
    </row>
    <row r="932" spans="1:15" x14ac:dyDescent="0.2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t="s">
        <v>966</v>
      </c>
      <c r="J932">
        <f>SUM(Table1[[#This Row],[math score]:[writing score]])</f>
        <v>211</v>
      </c>
      <c r="K932" s="1">
        <f>Table1[[#This Row],[total score]]/3</f>
        <v>70.333333333333329</v>
      </c>
      <c r="L932" s="6" t="str">
        <f>VLOOKUP(Table1[[#This Row],[average score]],$AE$9:$AF$13,2,TRUE)</f>
        <v>C</v>
      </c>
      <c r="M93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32" s="2" t="str">
        <f>IF(OR(Table1[[#This Row],[math score]]&lt;$AC$5,Table1[[#This Row],[reading score]]&lt;$AC$5,Table1[[#This Row],[writing score]]&lt;$AC$5), "Failed atleast one", "Passed all")</f>
        <v>Passed all</v>
      </c>
      <c r="O932" t="str">
        <f>VLOOKUP(Table1[[#This Row],[average score]],$AE$9:$AG$13,3,TRUE)</f>
        <v>Satisfactory</v>
      </c>
    </row>
    <row r="933" spans="1:15" x14ac:dyDescent="0.2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t="s">
        <v>967</v>
      </c>
      <c r="J933">
        <f>SUM(Table1[[#This Row],[math score]:[writing score]])</f>
        <v>181</v>
      </c>
      <c r="K933" s="1">
        <f>Table1[[#This Row],[total score]]/3</f>
        <v>60.333333333333336</v>
      </c>
      <c r="L933" s="6" t="str">
        <f>VLOOKUP(Table1[[#This Row],[average score]],$AE$9:$AF$13,2,TRUE)</f>
        <v>D</v>
      </c>
      <c r="M93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33" s="2" t="str">
        <f>IF(OR(Table1[[#This Row],[math score]]&lt;$AC$5,Table1[[#This Row],[reading score]]&lt;$AC$5,Table1[[#This Row],[writing score]]&lt;$AC$5), "Failed atleast one", "Passed all")</f>
        <v>Failed atleast one</v>
      </c>
      <c r="O933" t="str">
        <f>VLOOKUP(Table1[[#This Row],[average score]],$AE$9:$AG$13,3,TRUE)</f>
        <v>Needs improvements</v>
      </c>
    </row>
    <row r="934" spans="1:15" x14ac:dyDescent="0.2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t="s">
        <v>968</v>
      </c>
      <c r="J934">
        <f>SUM(Table1[[#This Row],[math score]:[writing score]])</f>
        <v>205</v>
      </c>
      <c r="K934" s="1">
        <f>Table1[[#This Row],[total score]]/3</f>
        <v>68.333333333333329</v>
      </c>
      <c r="L934" s="6" t="str">
        <f>VLOOKUP(Table1[[#This Row],[average score]],$AE$9:$AF$13,2,TRUE)</f>
        <v>D</v>
      </c>
      <c r="M93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34" s="2" t="str">
        <f>IF(OR(Table1[[#This Row],[math score]]&lt;$AC$5,Table1[[#This Row],[reading score]]&lt;$AC$5,Table1[[#This Row],[writing score]]&lt;$AC$5), "Failed atleast one", "Passed all")</f>
        <v>Passed all</v>
      </c>
      <c r="O934" t="str">
        <f>VLOOKUP(Table1[[#This Row],[average score]],$AE$9:$AG$13,3,TRUE)</f>
        <v>Needs improvements</v>
      </c>
    </row>
    <row r="935" spans="1:15" x14ac:dyDescent="0.2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t="s">
        <v>969</v>
      </c>
      <c r="J935">
        <f>SUM(Table1[[#This Row],[math score]:[writing score]])</f>
        <v>219</v>
      </c>
      <c r="K935" s="1">
        <f>Table1[[#This Row],[total score]]/3</f>
        <v>73</v>
      </c>
      <c r="L935" s="6" t="str">
        <f>VLOOKUP(Table1[[#This Row],[average score]],$AE$9:$AF$13,2,TRUE)</f>
        <v>C</v>
      </c>
      <c r="M93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35" s="2" t="str">
        <f>IF(OR(Table1[[#This Row],[math score]]&lt;$AC$5,Table1[[#This Row],[reading score]]&lt;$AC$5,Table1[[#This Row],[writing score]]&lt;$AC$5), "Failed atleast one", "Passed all")</f>
        <v>Passed all</v>
      </c>
      <c r="O935" t="str">
        <f>VLOOKUP(Table1[[#This Row],[average score]],$AE$9:$AG$13,3,TRUE)</f>
        <v>Satisfactory</v>
      </c>
    </row>
    <row r="936" spans="1:15" x14ac:dyDescent="0.2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t="s">
        <v>970</v>
      </c>
      <c r="J936">
        <f>SUM(Table1[[#This Row],[math score]:[writing score]])</f>
        <v>275</v>
      </c>
      <c r="K936" s="1">
        <f>Table1[[#This Row],[total score]]/3</f>
        <v>91.666666666666671</v>
      </c>
      <c r="L936" s="6" t="str">
        <f>VLOOKUP(Table1[[#This Row],[average score]],$AE$9:$AF$13,2,TRUE)</f>
        <v>A</v>
      </c>
      <c r="M93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36" s="2" t="str">
        <f>IF(OR(Table1[[#This Row],[math score]]&lt;$AC$5,Table1[[#This Row],[reading score]]&lt;$AC$5,Table1[[#This Row],[writing score]]&lt;$AC$5), "Failed atleast one", "Passed all")</f>
        <v>Passed all</v>
      </c>
      <c r="O936" t="str">
        <f>VLOOKUP(Table1[[#This Row],[average score]],$AE$9:$AG$13,3,TRUE)</f>
        <v>Outstanding</v>
      </c>
    </row>
    <row r="937" spans="1:15" x14ac:dyDescent="0.2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t="s">
        <v>971</v>
      </c>
      <c r="J937">
        <f>SUM(Table1[[#This Row],[math score]:[writing score]])</f>
        <v>191</v>
      </c>
      <c r="K937" s="1">
        <f>Table1[[#This Row],[total score]]/3</f>
        <v>63.666666666666664</v>
      </c>
      <c r="L937" s="6" t="str">
        <f>VLOOKUP(Table1[[#This Row],[average score]],$AE$9:$AF$13,2,TRUE)</f>
        <v>D</v>
      </c>
      <c r="M93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37" s="2" t="str">
        <f>IF(OR(Table1[[#This Row],[math score]]&lt;$AC$5,Table1[[#This Row],[reading score]]&lt;$AC$5,Table1[[#This Row],[writing score]]&lt;$AC$5), "Failed atleast one", "Passed all")</f>
        <v>Failed atleast one</v>
      </c>
      <c r="O937" t="str">
        <f>VLOOKUP(Table1[[#This Row],[average score]],$AE$9:$AG$13,3,TRUE)</f>
        <v>Needs improvements</v>
      </c>
    </row>
    <row r="938" spans="1:15" x14ac:dyDescent="0.2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t="s">
        <v>972</v>
      </c>
      <c r="J938">
        <f>SUM(Table1[[#This Row],[math score]:[writing score]])</f>
        <v>177</v>
      </c>
      <c r="K938" s="1">
        <f>Table1[[#This Row],[total score]]/3</f>
        <v>59</v>
      </c>
      <c r="L938" s="6" t="str">
        <f>VLOOKUP(Table1[[#This Row],[average score]],$AE$9:$AF$13,2,TRUE)</f>
        <v>F</v>
      </c>
      <c r="M93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38" s="2" t="str">
        <f>IF(OR(Table1[[#This Row],[math score]]&lt;$AC$5,Table1[[#This Row],[reading score]]&lt;$AC$5,Table1[[#This Row],[writing score]]&lt;$AC$5), "Failed atleast one", "Passed all")</f>
        <v>Failed atleast one</v>
      </c>
      <c r="O938" t="str">
        <f>VLOOKUP(Table1[[#This Row],[average score]],$AE$9:$AG$13,3,TRUE)</f>
        <v>Poor</v>
      </c>
    </row>
    <row r="939" spans="1:15" x14ac:dyDescent="0.2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t="s">
        <v>973</v>
      </c>
      <c r="J939">
        <f>SUM(Table1[[#This Row],[math score]:[writing score]])</f>
        <v>172</v>
      </c>
      <c r="K939" s="1">
        <f>Table1[[#This Row],[total score]]/3</f>
        <v>57.333333333333336</v>
      </c>
      <c r="L939" s="6" t="str">
        <f>VLOOKUP(Table1[[#This Row],[average score]],$AE$9:$AF$13,2,TRUE)</f>
        <v>F</v>
      </c>
      <c r="M93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39" s="2" t="str">
        <f>IF(OR(Table1[[#This Row],[math score]]&lt;$AC$5,Table1[[#This Row],[reading score]]&lt;$AC$5,Table1[[#This Row],[writing score]]&lt;$AC$5), "Failed atleast one", "Passed all")</f>
        <v>Failed atleast one</v>
      </c>
      <c r="O939" t="str">
        <f>VLOOKUP(Table1[[#This Row],[average score]],$AE$9:$AG$13,3,TRUE)</f>
        <v>Poor</v>
      </c>
    </row>
    <row r="940" spans="1:15" x14ac:dyDescent="0.2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t="s">
        <v>974</v>
      </c>
      <c r="J940">
        <f>SUM(Table1[[#This Row],[math score]:[writing score]])</f>
        <v>251</v>
      </c>
      <c r="K940" s="1">
        <f>Table1[[#This Row],[total score]]/3</f>
        <v>83.666666666666671</v>
      </c>
      <c r="L940" s="6" t="str">
        <f>VLOOKUP(Table1[[#This Row],[average score]],$AE$9:$AF$13,2,TRUE)</f>
        <v>B</v>
      </c>
      <c r="M94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40" s="2" t="str">
        <f>IF(OR(Table1[[#This Row],[math score]]&lt;$AC$5,Table1[[#This Row],[reading score]]&lt;$AC$5,Table1[[#This Row],[writing score]]&lt;$AC$5), "Failed atleast one", "Passed all")</f>
        <v>Passed all</v>
      </c>
      <c r="O940" t="str">
        <f>VLOOKUP(Table1[[#This Row],[average score]],$AE$9:$AG$13,3,TRUE)</f>
        <v xml:space="preserve">Good </v>
      </c>
    </row>
    <row r="941" spans="1:15" x14ac:dyDescent="0.2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t="s">
        <v>975</v>
      </c>
      <c r="J941">
        <f>SUM(Table1[[#This Row],[math score]:[writing score]])</f>
        <v>214</v>
      </c>
      <c r="K941" s="1">
        <f>Table1[[#This Row],[total score]]/3</f>
        <v>71.333333333333329</v>
      </c>
      <c r="L941" s="6" t="str">
        <f>VLOOKUP(Table1[[#This Row],[average score]],$AE$9:$AF$13,2,TRUE)</f>
        <v>C</v>
      </c>
      <c r="M94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41" s="2" t="str">
        <f>IF(OR(Table1[[#This Row],[math score]]&lt;$AC$5,Table1[[#This Row],[reading score]]&lt;$AC$5,Table1[[#This Row],[writing score]]&lt;$AC$5), "Failed atleast one", "Passed all")</f>
        <v>Passed all</v>
      </c>
      <c r="O941" t="str">
        <f>VLOOKUP(Table1[[#This Row],[average score]],$AE$9:$AG$13,3,TRUE)</f>
        <v>Satisfactory</v>
      </c>
    </row>
    <row r="942" spans="1:15" x14ac:dyDescent="0.2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t="s">
        <v>976</v>
      </c>
      <c r="J942">
        <f>SUM(Table1[[#This Row],[math score]:[writing score]])</f>
        <v>210</v>
      </c>
      <c r="K942" s="1">
        <f>Table1[[#This Row],[total score]]/3</f>
        <v>70</v>
      </c>
      <c r="L942" s="6" t="str">
        <f>VLOOKUP(Table1[[#This Row],[average score]],$AE$9:$AF$13,2,TRUE)</f>
        <v>C</v>
      </c>
      <c r="M94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42" s="2" t="str">
        <f>IF(OR(Table1[[#This Row],[math score]]&lt;$AC$5,Table1[[#This Row],[reading score]]&lt;$AC$5,Table1[[#This Row],[writing score]]&lt;$AC$5), "Failed atleast one", "Passed all")</f>
        <v>Passed all</v>
      </c>
      <c r="O942" t="str">
        <f>VLOOKUP(Table1[[#This Row],[average score]],$AE$9:$AG$13,3,TRUE)</f>
        <v>Satisfactory</v>
      </c>
    </row>
    <row r="943" spans="1:15" x14ac:dyDescent="0.2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t="s">
        <v>977</v>
      </c>
      <c r="J943">
        <f>SUM(Table1[[#This Row],[math score]:[writing score]])</f>
        <v>265</v>
      </c>
      <c r="K943" s="1">
        <f>Table1[[#This Row],[total score]]/3</f>
        <v>88.333333333333329</v>
      </c>
      <c r="L943" s="6" t="str">
        <f>VLOOKUP(Table1[[#This Row],[average score]],$AE$9:$AF$13,2,TRUE)</f>
        <v>B</v>
      </c>
      <c r="M94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43" s="2" t="str">
        <f>IF(OR(Table1[[#This Row],[math score]]&lt;$AC$5,Table1[[#This Row],[reading score]]&lt;$AC$5,Table1[[#This Row],[writing score]]&lt;$AC$5), "Failed atleast one", "Passed all")</f>
        <v>Passed all</v>
      </c>
      <c r="O943" t="str">
        <f>VLOOKUP(Table1[[#This Row],[average score]],$AE$9:$AG$13,3,TRUE)</f>
        <v xml:space="preserve">Good </v>
      </c>
    </row>
    <row r="944" spans="1:15" x14ac:dyDescent="0.2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t="s">
        <v>978</v>
      </c>
      <c r="J944">
        <f>SUM(Table1[[#This Row],[math score]:[writing score]])</f>
        <v>211</v>
      </c>
      <c r="K944" s="1">
        <f>Table1[[#This Row],[total score]]/3</f>
        <v>70.333333333333329</v>
      </c>
      <c r="L944" s="6" t="str">
        <f>VLOOKUP(Table1[[#This Row],[average score]],$AE$9:$AF$13,2,TRUE)</f>
        <v>C</v>
      </c>
      <c r="M94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44" s="2" t="str">
        <f>IF(OR(Table1[[#This Row],[math score]]&lt;$AC$5,Table1[[#This Row],[reading score]]&lt;$AC$5,Table1[[#This Row],[writing score]]&lt;$AC$5), "Failed atleast one", "Passed all")</f>
        <v>Passed all</v>
      </c>
      <c r="O944" t="str">
        <f>VLOOKUP(Table1[[#This Row],[average score]],$AE$9:$AG$13,3,TRUE)</f>
        <v>Satisfactory</v>
      </c>
    </row>
    <row r="945" spans="1:15" x14ac:dyDescent="0.2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t="s">
        <v>979</v>
      </c>
      <c r="J945">
        <f>SUM(Table1[[#This Row],[math score]:[writing score]])</f>
        <v>184</v>
      </c>
      <c r="K945" s="1">
        <f>Table1[[#This Row],[total score]]/3</f>
        <v>61.333333333333336</v>
      </c>
      <c r="L945" s="6" t="str">
        <f>VLOOKUP(Table1[[#This Row],[average score]],$AE$9:$AF$13,2,TRUE)</f>
        <v>D</v>
      </c>
      <c r="M94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45" s="2" t="str">
        <f>IF(OR(Table1[[#This Row],[math score]]&lt;$AC$5,Table1[[#This Row],[reading score]]&lt;$AC$5,Table1[[#This Row],[writing score]]&lt;$AC$5), "Failed atleast one", "Passed all")</f>
        <v>Passed all</v>
      </c>
      <c r="O945" t="str">
        <f>VLOOKUP(Table1[[#This Row],[average score]],$AE$9:$AG$13,3,TRUE)</f>
        <v>Needs improvements</v>
      </c>
    </row>
    <row r="946" spans="1:15" x14ac:dyDescent="0.2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t="s">
        <v>980</v>
      </c>
      <c r="J946">
        <f>SUM(Table1[[#This Row],[math score]:[writing score]])</f>
        <v>187</v>
      </c>
      <c r="K946" s="1">
        <f>Table1[[#This Row],[total score]]/3</f>
        <v>62.333333333333336</v>
      </c>
      <c r="L946" s="6" t="str">
        <f>VLOOKUP(Table1[[#This Row],[average score]],$AE$9:$AF$13,2,TRUE)</f>
        <v>D</v>
      </c>
      <c r="M94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46" s="2" t="str">
        <f>IF(OR(Table1[[#This Row],[math score]]&lt;$AC$5,Table1[[#This Row],[reading score]]&lt;$AC$5,Table1[[#This Row],[writing score]]&lt;$AC$5), "Failed atleast one", "Passed all")</f>
        <v>Failed atleast one</v>
      </c>
      <c r="O946" t="str">
        <f>VLOOKUP(Table1[[#This Row],[average score]],$AE$9:$AG$13,3,TRUE)</f>
        <v>Needs improvements</v>
      </c>
    </row>
    <row r="947" spans="1:15" x14ac:dyDescent="0.2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t="s">
        <v>981</v>
      </c>
      <c r="J947">
        <f>SUM(Table1[[#This Row],[math score]:[writing score]])</f>
        <v>173</v>
      </c>
      <c r="K947" s="1">
        <f>Table1[[#This Row],[total score]]/3</f>
        <v>57.666666666666664</v>
      </c>
      <c r="L947" s="6" t="str">
        <f>VLOOKUP(Table1[[#This Row],[average score]],$AE$9:$AF$13,2,TRUE)</f>
        <v>F</v>
      </c>
      <c r="M94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47" s="2" t="str">
        <f>IF(OR(Table1[[#This Row],[math score]]&lt;$AC$5,Table1[[#This Row],[reading score]]&lt;$AC$5,Table1[[#This Row],[writing score]]&lt;$AC$5), "Failed atleast one", "Passed all")</f>
        <v>Failed atleast one</v>
      </c>
      <c r="O947" t="str">
        <f>VLOOKUP(Table1[[#This Row],[average score]],$AE$9:$AG$13,3,TRUE)</f>
        <v>Poor</v>
      </c>
    </row>
    <row r="948" spans="1:15" x14ac:dyDescent="0.2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t="s">
        <v>982</v>
      </c>
      <c r="J948">
        <f>SUM(Table1[[#This Row],[math score]:[writing score]])</f>
        <v>244</v>
      </c>
      <c r="K948" s="1">
        <f>Table1[[#This Row],[total score]]/3</f>
        <v>81.333333333333329</v>
      </c>
      <c r="L948" s="6" t="str">
        <f>VLOOKUP(Table1[[#This Row],[average score]],$AE$9:$AF$13,2,TRUE)</f>
        <v>B</v>
      </c>
      <c r="M94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48" s="2" t="str">
        <f>IF(OR(Table1[[#This Row],[math score]]&lt;$AC$5,Table1[[#This Row],[reading score]]&lt;$AC$5,Table1[[#This Row],[writing score]]&lt;$AC$5), "Failed atleast one", "Passed all")</f>
        <v>Passed all</v>
      </c>
      <c r="O948" t="str">
        <f>VLOOKUP(Table1[[#This Row],[average score]],$AE$9:$AG$13,3,TRUE)</f>
        <v xml:space="preserve">Good </v>
      </c>
    </row>
    <row r="949" spans="1:15" x14ac:dyDescent="0.2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t="s">
        <v>983</v>
      </c>
      <c r="J949">
        <f>SUM(Table1[[#This Row],[math score]:[writing score]])</f>
        <v>167</v>
      </c>
      <c r="K949" s="1">
        <f>Table1[[#This Row],[total score]]/3</f>
        <v>55.666666666666664</v>
      </c>
      <c r="L949" s="6" t="str">
        <f>VLOOKUP(Table1[[#This Row],[average score]],$AE$9:$AF$13,2,TRUE)</f>
        <v>F</v>
      </c>
      <c r="M94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49" s="2" t="str">
        <f>IF(OR(Table1[[#This Row],[math score]]&lt;$AC$5,Table1[[#This Row],[reading score]]&lt;$AC$5,Table1[[#This Row],[writing score]]&lt;$AC$5), "Failed atleast one", "Passed all")</f>
        <v>Failed atleast one</v>
      </c>
      <c r="O949" t="str">
        <f>VLOOKUP(Table1[[#This Row],[average score]],$AE$9:$AG$13,3,TRUE)</f>
        <v>Poor</v>
      </c>
    </row>
    <row r="950" spans="1:15" x14ac:dyDescent="0.2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t="s">
        <v>984</v>
      </c>
      <c r="J950">
        <f>SUM(Table1[[#This Row],[math score]:[writing score]])</f>
        <v>151</v>
      </c>
      <c r="K950" s="1">
        <f>Table1[[#This Row],[total score]]/3</f>
        <v>50.333333333333336</v>
      </c>
      <c r="L950" s="6" t="str">
        <f>VLOOKUP(Table1[[#This Row],[average score]],$AE$9:$AF$13,2,TRUE)</f>
        <v>F</v>
      </c>
      <c r="M95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50" s="2" t="str">
        <f>IF(OR(Table1[[#This Row],[math score]]&lt;$AC$5,Table1[[#This Row],[reading score]]&lt;$AC$5,Table1[[#This Row],[writing score]]&lt;$AC$5), "Failed atleast one", "Passed all")</f>
        <v>Failed atleast one</v>
      </c>
      <c r="O950" t="str">
        <f>VLOOKUP(Table1[[#This Row],[average score]],$AE$9:$AG$13,3,TRUE)</f>
        <v>Poor</v>
      </c>
    </row>
    <row r="951" spans="1:15" x14ac:dyDescent="0.2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t="s">
        <v>985</v>
      </c>
      <c r="J951">
        <f>SUM(Table1[[#This Row],[math score]:[writing score]])</f>
        <v>205</v>
      </c>
      <c r="K951" s="1">
        <f>Table1[[#This Row],[total score]]/3</f>
        <v>68.333333333333329</v>
      </c>
      <c r="L951" s="6" t="str">
        <f>VLOOKUP(Table1[[#This Row],[average score]],$AE$9:$AF$13,2,TRUE)</f>
        <v>D</v>
      </c>
      <c r="M95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51" s="2" t="str">
        <f>IF(OR(Table1[[#This Row],[math score]]&lt;$AC$5,Table1[[#This Row],[reading score]]&lt;$AC$5,Table1[[#This Row],[writing score]]&lt;$AC$5), "Failed atleast one", "Passed all")</f>
        <v>Failed atleast one</v>
      </c>
      <c r="O951" t="str">
        <f>VLOOKUP(Table1[[#This Row],[average score]],$AE$9:$AG$13,3,TRUE)</f>
        <v>Needs improvements</v>
      </c>
    </row>
    <row r="952" spans="1:15" x14ac:dyDescent="0.2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t="s">
        <v>986</v>
      </c>
      <c r="J952">
        <f>SUM(Table1[[#This Row],[math score]:[writing score]])</f>
        <v>238</v>
      </c>
      <c r="K952" s="1">
        <f>Table1[[#This Row],[total score]]/3</f>
        <v>79.333333333333329</v>
      </c>
      <c r="L952" s="6" t="str">
        <f>VLOOKUP(Table1[[#This Row],[average score]],$AE$9:$AF$13,2,TRUE)</f>
        <v>C</v>
      </c>
      <c r="M95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52" s="2" t="str">
        <f>IF(OR(Table1[[#This Row],[math score]]&lt;$AC$5,Table1[[#This Row],[reading score]]&lt;$AC$5,Table1[[#This Row],[writing score]]&lt;$AC$5), "Failed atleast one", "Passed all")</f>
        <v>Passed all</v>
      </c>
      <c r="O952" t="str">
        <f>VLOOKUP(Table1[[#This Row],[average score]],$AE$9:$AG$13,3,TRUE)</f>
        <v>Satisfactory</v>
      </c>
    </row>
    <row r="953" spans="1:15" x14ac:dyDescent="0.2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t="s">
        <v>987</v>
      </c>
      <c r="J953">
        <f>SUM(Table1[[#This Row],[math score]:[writing score]])</f>
        <v>235</v>
      </c>
      <c r="K953" s="1">
        <f>Table1[[#This Row],[total score]]/3</f>
        <v>78.333333333333329</v>
      </c>
      <c r="L953" s="6" t="str">
        <f>VLOOKUP(Table1[[#This Row],[average score]],$AE$9:$AF$13,2,TRUE)</f>
        <v>C</v>
      </c>
      <c r="M95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53" s="2" t="str">
        <f>IF(OR(Table1[[#This Row],[math score]]&lt;$AC$5,Table1[[#This Row],[reading score]]&lt;$AC$5,Table1[[#This Row],[writing score]]&lt;$AC$5), "Failed atleast one", "Passed all")</f>
        <v>Passed all</v>
      </c>
      <c r="O953" t="str">
        <f>VLOOKUP(Table1[[#This Row],[average score]],$AE$9:$AG$13,3,TRUE)</f>
        <v>Satisfactory</v>
      </c>
    </row>
    <row r="954" spans="1:15" x14ac:dyDescent="0.2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t="s">
        <v>988</v>
      </c>
      <c r="J954">
        <f>SUM(Table1[[#This Row],[math score]:[writing score]])</f>
        <v>220</v>
      </c>
      <c r="K954" s="1">
        <f>Table1[[#This Row],[total score]]/3</f>
        <v>73.333333333333329</v>
      </c>
      <c r="L954" s="6" t="str">
        <f>VLOOKUP(Table1[[#This Row],[average score]],$AE$9:$AF$13,2,TRUE)</f>
        <v>C</v>
      </c>
      <c r="M95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54" s="2" t="str">
        <f>IF(OR(Table1[[#This Row],[math score]]&lt;$AC$5,Table1[[#This Row],[reading score]]&lt;$AC$5,Table1[[#This Row],[writing score]]&lt;$AC$5), "Failed atleast one", "Passed all")</f>
        <v>Passed all</v>
      </c>
      <c r="O954" t="str">
        <f>VLOOKUP(Table1[[#This Row],[average score]],$AE$9:$AG$13,3,TRUE)</f>
        <v>Satisfactory</v>
      </c>
    </row>
    <row r="955" spans="1:15" x14ac:dyDescent="0.2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t="s">
        <v>989</v>
      </c>
      <c r="J955">
        <f>SUM(Table1[[#This Row],[math score]:[writing score]])</f>
        <v>164</v>
      </c>
      <c r="K955" s="1">
        <f>Table1[[#This Row],[total score]]/3</f>
        <v>54.666666666666664</v>
      </c>
      <c r="L955" s="6" t="str">
        <f>VLOOKUP(Table1[[#This Row],[average score]],$AE$9:$AF$13,2,TRUE)</f>
        <v>F</v>
      </c>
      <c r="M95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55" s="2" t="str">
        <f>IF(OR(Table1[[#This Row],[math score]]&lt;$AC$5,Table1[[#This Row],[reading score]]&lt;$AC$5,Table1[[#This Row],[writing score]]&lt;$AC$5), "Failed atleast one", "Passed all")</f>
        <v>Failed atleast one</v>
      </c>
      <c r="O955" t="str">
        <f>VLOOKUP(Table1[[#This Row],[average score]],$AE$9:$AG$13,3,TRUE)</f>
        <v>Poor</v>
      </c>
    </row>
    <row r="956" spans="1:15" x14ac:dyDescent="0.2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t="s">
        <v>990</v>
      </c>
      <c r="J956">
        <f>SUM(Table1[[#This Row],[math score]:[writing score]])</f>
        <v>200</v>
      </c>
      <c r="K956" s="1">
        <f>Table1[[#This Row],[total score]]/3</f>
        <v>66.666666666666671</v>
      </c>
      <c r="L956" s="6" t="str">
        <f>VLOOKUP(Table1[[#This Row],[average score]],$AE$9:$AF$13,2,TRUE)</f>
        <v>D</v>
      </c>
      <c r="M95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56" s="2" t="str">
        <f>IF(OR(Table1[[#This Row],[math score]]&lt;$AC$5,Table1[[#This Row],[reading score]]&lt;$AC$5,Table1[[#This Row],[writing score]]&lt;$AC$5), "Failed atleast one", "Passed all")</f>
        <v>Passed all</v>
      </c>
      <c r="O956" t="str">
        <f>VLOOKUP(Table1[[#This Row],[average score]],$AE$9:$AG$13,3,TRUE)</f>
        <v>Needs improvements</v>
      </c>
    </row>
    <row r="957" spans="1:15" x14ac:dyDescent="0.2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t="s">
        <v>991</v>
      </c>
      <c r="J957">
        <f>SUM(Table1[[#This Row],[math score]:[writing score]])</f>
        <v>191</v>
      </c>
      <c r="K957" s="1">
        <f>Table1[[#This Row],[total score]]/3</f>
        <v>63.666666666666664</v>
      </c>
      <c r="L957" s="6" t="str">
        <f>VLOOKUP(Table1[[#This Row],[average score]],$AE$9:$AF$13,2,TRUE)</f>
        <v>D</v>
      </c>
      <c r="M95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57" s="2" t="str">
        <f>IF(OR(Table1[[#This Row],[math score]]&lt;$AC$5,Table1[[#This Row],[reading score]]&lt;$AC$5,Table1[[#This Row],[writing score]]&lt;$AC$5), "Failed atleast one", "Passed all")</f>
        <v>Failed atleast one</v>
      </c>
      <c r="O957" t="str">
        <f>VLOOKUP(Table1[[#This Row],[average score]],$AE$9:$AG$13,3,TRUE)</f>
        <v>Needs improvements</v>
      </c>
    </row>
    <row r="958" spans="1:15" x14ac:dyDescent="0.2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t="s">
        <v>992</v>
      </c>
      <c r="J958">
        <f>SUM(Table1[[#This Row],[math score]:[writing score]])</f>
        <v>252</v>
      </c>
      <c r="K958" s="1">
        <f>Table1[[#This Row],[total score]]/3</f>
        <v>84</v>
      </c>
      <c r="L958" s="6" t="str">
        <f>VLOOKUP(Table1[[#This Row],[average score]],$AE$9:$AF$13,2,TRUE)</f>
        <v>B</v>
      </c>
      <c r="M95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58" s="2" t="str">
        <f>IF(OR(Table1[[#This Row],[math score]]&lt;$AC$5,Table1[[#This Row],[reading score]]&lt;$AC$5,Table1[[#This Row],[writing score]]&lt;$AC$5), "Failed atleast one", "Passed all")</f>
        <v>Passed all</v>
      </c>
      <c r="O958" t="str">
        <f>VLOOKUP(Table1[[#This Row],[average score]],$AE$9:$AG$13,3,TRUE)</f>
        <v xml:space="preserve">Good </v>
      </c>
    </row>
    <row r="959" spans="1:15" x14ac:dyDescent="0.2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t="s">
        <v>993</v>
      </c>
      <c r="J959">
        <f>SUM(Table1[[#This Row],[math score]:[writing score]])</f>
        <v>292</v>
      </c>
      <c r="K959" s="1">
        <f>Table1[[#This Row],[total score]]/3</f>
        <v>97.333333333333329</v>
      </c>
      <c r="L959" s="6" t="str">
        <f>VLOOKUP(Table1[[#This Row],[average score]],$AE$9:$AF$13,2,TRUE)</f>
        <v>A</v>
      </c>
      <c r="M95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59" s="2" t="str">
        <f>IF(OR(Table1[[#This Row],[math score]]&lt;$AC$5,Table1[[#This Row],[reading score]]&lt;$AC$5,Table1[[#This Row],[writing score]]&lt;$AC$5), "Failed atleast one", "Passed all")</f>
        <v>Passed all</v>
      </c>
      <c r="O959" t="str">
        <f>VLOOKUP(Table1[[#This Row],[average score]],$AE$9:$AG$13,3,TRUE)</f>
        <v>Outstanding</v>
      </c>
    </row>
    <row r="960" spans="1:15" x14ac:dyDescent="0.2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t="s">
        <v>994</v>
      </c>
      <c r="J960">
        <f>SUM(Table1[[#This Row],[math score]:[writing score]])</f>
        <v>167</v>
      </c>
      <c r="K960" s="1">
        <f>Table1[[#This Row],[total score]]/3</f>
        <v>55.666666666666664</v>
      </c>
      <c r="L960" s="6" t="str">
        <f>VLOOKUP(Table1[[#This Row],[average score]],$AE$9:$AF$13,2,TRUE)</f>
        <v>F</v>
      </c>
      <c r="M96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60" s="2" t="str">
        <f>IF(OR(Table1[[#This Row],[math score]]&lt;$AC$5,Table1[[#This Row],[reading score]]&lt;$AC$5,Table1[[#This Row],[writing score]]&lt;$AC$5), "Failed atleast one", "Passed all")</f>
        <v>Failed atleast one</v>
      </c>
      <c r="O960" t="str">
        <f>VLOOKUP(Table1[[#This Row],[average score]],$AE$9:$AG$13,3,TRUE)</f>
        <v>Poor</v>
      </c>
    </row>
    <row r="961" spans="1:15" x14ac:dyDescent="0.2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t="s">
        <v>995</v>
      </c>
      <c r="J961">
        <f>SUM(Table1[[#This Row],[math score]:[writing score]])</f>
        <v>227</v>
      </c>
      <c r="K961" s="1">
        <f>Table1[[#This Row],[total score]]/3</f>
        <v>75.666666666666671</v>
      </c>
      <c r="L961" s="6" t="str">
        <f>VLOOKUP(Table1[[#This Row],[average score]],$AE$9:$AF$13,2,TRUE)</f>
        <v>C</v>
      </c>
      <c r="M96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61" s="2" t="str">
        <f>IF(OR(Table1[[#This Row],[math score]]&lt;$AC$5,Table1[[#This Row],[reading score]]&lt;$AC$5,Table1[[#This Row],[writing score]]&lt;$AC$5), "Failed atleast one", "Passed all")</f>
        <v>Passed all</v>
      </c>
      <c r="O961" t="str">
        <f>VLOOKUP(Table1[[#This Row],[average score]],$AE$9:$AG$13,3,TRUE)</f>
        <v>Satisfactory</v>
      </c>
    </row>
    <row r="962" spans="1:15" x14ac:dyDescent="0.2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t="s">
        <v>996</v>
      </c>
      <c r="J962">
        <f>SUM(Table1[[#This Row],[math score]:[writing score]])</f>
        <v>178</v>
      </c>
      <c r="K962" s="1">
        <f>Table1[[#This Row],[total score]]/3</f>
        <v>59.333333333333336</v>
      </c>
      <c r="L962" s="6" t="str">
        <f>VLOOKUP(Table1[[#This Row],[average score]],$AE$9:$AF$13,2,TRUE)</f>
        <v>F</v>
      </c>
      <c r="M96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62" s="2" t="str">
        <f>IF(OR(Table1[[#This Row],[math score]]&lt;$AC$5,Table1[[#This Row],[reading score]]&lt;$AC$5,Table1[[#This Row],[writing score]]&lt;$AC$5), "Failed atleast one", "Passed all")</f>
        <v>Failed atleast one</v>
      </c>
      <c r="O962" t="str">
        <f>VLOOKUP(Table1[[#This Row],[average score]],$AE$9:$AG$13,3,TRUE)</f>
        <v>Poor</v>
      </c>
    </row>
    <row r="963" spans="1:15" x14ac:dyDescent="0.2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t="s">
        <v>997</v>
      </c>
      <c r="J963">
        <f>SUM(Table1[[#This Row],[math score]:[writing score]])</f>
        <v>155</v>
      </c>
      <c r="K963" s="1">
        <f>Table1[[#This Row],[total score]]/3</f>
        <v>51.666666666666664</v>
      </c>
      <c r="L963" s="6" t="str">
        <f>VLOOKUP(Table1[[#This Row],[average score]],$AE$9:$AF$13,2,TRUE)</f>
        <v>F</v>
      </c>
      <c r="M96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63" s="2" t="str">
        <f>IF(OR(Table1[[#This Row],[math score]]&lt;$AC$5,Table1[[#This Row],[reading score]]&lt;$AC$5,Table1[[#This Row],[writing score]]&lt;$AC$5), "Failed atleast one", "Passed all")</f>
        <v>Failed atleast one</v>
      </c>
      <c r="O963" t="str">
        <f>VLOOKUP(Table1[[#This Row],[average score]],$AE$9:$AG$13,3,TRUE)</f>
        <v>Poor</v>
      </c>
    </row>
    <row r="964" spans="1:15" x14ac:dyDescent="0.2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t="s">
        <v>998</v>
      </c>
      <c r="J964">
        <f>SUM(Table1[[#This Row],[math score]:[writing score]])</f>
        <v>300</v>
      </c>
      <c r="K964" s="1">
        <f>Table1[[#This Row],[total score]]/3</f>
        <v>100</v>
      </c>
      <c r="L964" s="6" t="str">
        <f>VLOOKUP(Table1[[#This Row],[average score]],$AE$9:$AF$13,2,TRUE)</f>
        <v>A</v>
      </c>
      <c r="M96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64" s="2" t="str">
        <f>IF(OR(Table1[[#This Row],[math score]]&lt;$AC$5,Table1[[#This Row],[reading score]]&lt;$AC$5,Table1[[#This Row],[writing score]]&lt;$AC$5), "Failed atleast one", "Passed all")</f>
        <v>Passed all</v>
      </c>
      <c r="O964" t="str">
        <f>VLOOKUP(Table1[[#This Row],[average score]],$AE$9:$AG$13,3,TRUE)</f>
        <v>Outstanding</v>
      </c>
    </row>
    <row r="965" spans="1:15" x14ac:dyDescent="0.2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t="s">
        <v>999</v>
      </c>
      <c r="J965">
        <f>SUM(Table1[[#This Row],[math score]:[writing score]])</f>
        <v>216</v>
      </c>
      <c r="K965" s="1">
        <f>Table1[[#This Row],[total score]]/3</f>
        <v>72</v>
      </c>
      <c r="L965" s="6" t="str">
        <f>VLOOKUP(Table1[[#This Row],[average score]],$AE$9:$AF$13,2,TRUE)</f>
        <v>C</v>
      </c>
      <c r="M96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65" s="2" t="str">
        <f>IF(OR(Table1[[#This Row],[math score]]&lt;$AC$5,Table1[[#This Row],[reading score]]&lt;$AC$5,Table1[[#This Row],[writing score]]&lt;$AC$5), "Failed atleast one", "Passed all")</f>
        <v>Passed all</v>
      </c>
      <c r="O965" t="str">
        <f>VLOOKUP(Table1[[#This Row],[average score]],$AE$9:$AG$13,3,TRUE)</f>
        <v>Satisfactory</v>
      </c>
    </row>
    <row r="966" spans="1:15" x14ac:dyDescent="0.2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t="s">
        <v>1000</v>
      </c>
      <c r="J966">
        <f>SUM(Table1[[#This Row],[math score]:[writing score]])</f>
        <v>187</v>
      </c>
      <c r="K966" s="1">
        <f>Table1[[#This Row],[total score]]/3</f>
        <v>62.333333333333336</v>
      </c>
      <c r="L966" s="6" t="str">
        <f>VLOOKUP(Table1[[#This Row],[average score]],$AE$9:$AF$13,2,TRUE)</f>
        <v>D</v>
      </c>
      <c r="M96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66" s="2" t="str">
        <f>IF(OR(Table1[[#This Row],[math score]]&lt;$AC$5,Table1[[#This Row],[reading score]]&lt;$AC$5,Table1[[#This Row],[writing score]]&lt;$AC$5), "Failed atleast one", "Passed all")</f>
        <v>Failed atleast one</v>
      </c>
      <c r="O966" t="str">
        <f>VLOOKUP(Table1[[#This Row],[average score]],$AE$9:$AG$13,3,TRUE)</f>
        <v>Needs improvements</v>
      </c>
    </row>
    <row r="967" spans="1:15" x14ac:dyDescent="0.2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t="s">
        <v>1001</v>
      </c>
      <c r="J967">
        <f>SUM(Table1[[#This Row],[math score]:[writing score]])</f>
        <v>204</v>
      </c>
      <c r="K967" s="1">
        <f>Table1[[#This Row],[total score]]/3</f>
        <v>68</v>
      </c>
      <c r="L967" s="6" t="str">
        <f>VLOOKUP(Table1[[#This Row],[average score]],$AE$9:$AF$13,2,TRUE)</f>
        <v>D</v>
      </c>
      <c r="M96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67" s="2" t="str">
        <f>IF(OR(Table1[[#This Row],[math score]]&lt;$AC$5,Table1[[#This Row],[reading score]]&lt;$AC$5,Table1[[#This Row],[writing score]]&lt;$AC$5), "Failed atleast one", "Passed all")</f>
        <v>Passed all</v>
      </c>
      <c r="O967" t="str">
        <f>VLOOKUP(Table1[[#This Row],[average score]],$AE$9:$AG$13,3,TRUE)</f>
        <v>Needs improvements</v>
      </c>
    </row>
    <row r="968" spans="1:15" x14ac:dyDescent="0.2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t="s">
        <v>1002</v>
      </c>
      <c r="J968">
        <f>SUM(Table1[[#This Row],[math score]:[writing score]])</f>
        <v>198</v>
      </c>
      <c r="K968" s="1">
        <f>Table1[[#This Row],[total score]]/3</f>
        <v>66</v>
      </c>
      <c r="L968" s="6" t="str">
        <f>VLOOKUP(Table1[[#This Row],[average score]],$AE$9:$AF$13,2,TRUE)</f>
        <v>D</v>
      </c>
      <c r="M96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68" s="2" t="str">
        <f>IF(OR(Table1[[#This Row],[math score]]&lt;$AC$5,Table1[[#This Row],[reading score]]&lt;$AC$5,Table1[[#This Row],[writing score]]&lt;$AC$5), "Failed atleast one", "Passed all")</f>
        <v>Passed all</v>
      </c>
      <c r="O968" t="str">
        <f>VLOOKUP(Table1[[#This Row],[average score]],$AE$9:$AG$13,3,TRUE)</f>
        <v>Needs improvements</v>
      </c>
    </row>
    <row r="969" spans="1:15" x14ac:dyDescent="0.2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t="s">
        <v>1003</v>
      </c>
      <c r="J969">
        <f>SUM(Table1[[#This Row],[math score]:[writing score]])</f>
        <v>186</v>
      </c>
      <c r="K969" s="1">
        <f>Table1[[#This Row],[total score]]/3</f>
        <v>62</v>
      </c>
      <c r="L969" s="6" t="str">
        <f>VLOOKUP(Table1[[#This Row],[average score]],$AE$9:$AF$13,2,TRUE)</f>
        <v>D</v>
      </c>
      <c r="M96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69" s="2" t="str">
        <f>IF(OR(Table1[[#This Row],[math score]]&lt;$AC$5,Table1[[#This Row],[reading score]]&lt;$AC$5,Table1[[#This Row],[writing score]]&lt;$AC$5), "Failed atleast one", "Passed all")</f>
        <v>Passed all</v>
      </c>
      <c r="O969" t="str">
        <f>VLOOKUP(Table1[[#This Row],[average score]],$AE$9:$AG$13,3,TRUE)</f>
        <v>Needs improvements</v>
      </c>
    </row>
    <row r="970" spans="1:15" x14ac:dyDescent="0.2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t="s">
        <v>1004</v>
      </c>
      <c r="J970">
        <f>SUM(Table1[[#This Row],[math score]:[writing score]])</f>
        <v>211</v>
      </c>
      <c r="K970" s="1">
        <f>Table1[[#This Row],[total score]]/3</f>
        <v>70.333333333333329</v>
      </c>
      <c r="L970" s="6" t="str">
        <f>VLOOKUP(Table1[[#This Row],[average score]],$AE$9:$AF$13,2,TRUE)</f>
        <v>C</v>
      </c>
      <c r="M97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70" s="2" t="str">
        <f>IF(OR(Table1[[#This Row],[math score]]&lt;$AC$5,Table1[[#This Row],[reading score]]&lt;$AC$5,Table1[[#This Row],[writing score]]&lt;$AC$5), "Failed atleast one", "Passed all")</f>
        <v>Passed all</v>
      </c>
      <c r="O970" t="str">
        <f>VLOOKUP(Table1[[#This Row],[average score]],$AE$9:$AG$13,3,TRUE)</f>
        <v>Satisfactory</v>
      </c>
    </row>
    <row r="971" spans="1:15" x14ac:dyDescent="0.2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t="s">
        <v>1005</v>
      </c>
      <c r="J971">
        <f>SUM(Table1[[#This Row],[math score]:[writing score]])</f>
        <v>239</v>
      </c>
      <c r="K971" s="1">
        <f>Table1[[#This Row],[total score]]/3</f>
        <v>79.666666666666671</v>
      </c>
      <c r="L971" s="6" t="str">
        <f>VLOOKUP(Table1[[#This Row],[average score]],$AE$9:$AF$13,2,TRUE)</f>
        <v>C</v>
      </c>
      <c r="M97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71" s="2" t="str">
        <f>IF(OR(Table1[[#This Row],[math score]]&lt;$AC$5,Table1[[#This Row],[reading score]]&lt;$AC$5,Table1[[#This Row],[writing score]]&lt;$AC$5), "Failed atleast one", "Passed all")</f>
        <v>Passed all</v>
      </c>
      <c r="O971" t="str">
        <f>VLOOKUP(Table1[[#This Row],[average score]],$AE$9:$AG$13,3,TRUE)</f>
        <v>Satisfactory</v>
      </c>
    </row>
    <row r="972" spans="1:15" x14ac:dyDescent="0.2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t="s">
        <v>1006</v>
      </c>
      <c r="J972">
        <f>SUM(Table1[[#This Row],[math score]:[writing score]])</f>
        <v>289</v>
      </c>
      <c r="K972" s="1">
        <f>Table1[[#This Row],[total score]]/3</f>
        <v>96.333333333333329</v>
      </c>
      <c r="L972" s="6" t="str">
        <f>VLOOKUP(Table1[[#This Row],[average score]],$AE$9:$AF$13,2,TRUE)</f>
        <v>A</v>
      </c>
      <c r="M97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72" s="2" t="str">
        <f>IF(OR(Table1[[#This Row],[math score]]&lt;$AC$5,Table1[[#This Row],[reading score]]&lt;$AC$5,Table1[[#This Row],[writing score]]&lt;$AC$5), "Failed atleast one", "Passed all")</f>
        <v>Passed all</v>
      </c>
      <c r="O972" t="str">
        <f>VLOOKUP(Table1[[#This Row],[average score]],$AE$9:$AG$13,3,TRUE)</f>
        <v>Outstanding</v>
      </c>
    </row>
    <row r="973" spans="1:15" x14ac:dyDescent="0.2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t="s">
        <v>1007</v>
      </c>
      <c r="J973">
        <f>SUM(Table1[[#This Row],[math score]:[writing score]])</f>
        <v>219</v>
      </c>
      <c r="K973" s="1">
        <f>Table1[[#This Row],[total score]]/3</f>
        <v>73</v>
      </c>
      <c r="L973" s="6" t="str">
        <f>VLOOKUP(Table1[[#This Row],[average score]],$AE$9:$AF$13,2,TRUE)</f>
        <v>C</v>
      </c>
      <c r="M97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73" s="2" t="str">
        <f>IF(OR(Table1[[#This Row],[math score]]&lt;$AC$5,Table1[[#This Row],[reading score]]&lt;$AC$5,Table1[[#This Row],[writing score]]&lt;$AC$5), "Failed atleast one", "Passed all")</f>
        <v>Passed all</v>
      </c>
      <c r="O973" t="str">
        <f>VLOOKUP(Table1[[#This Row],[average score]],$AE$9:$AG$13,3,TRUE)</f>
        <v>Satisfactory</v>
      </c>
    </row>
    <row r="974" spans="1:15" x14ac:dyDescent="0.2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t="s">
        <v>1008</v>
      </c>
      <c r="J974">
        <f>SUM(Table1[[#This Row],[math score]:[writing score]])</f>
        <v>163</v>
      </c>
      <c r="K974" s="1">
        <f>Table1[[#This Row],[total score]]/3</f>
        <v>54.333333333333336</v>
      </c>
      <c r="L974" s="6" t="str">
        <f>VLOOKUP(Table1[[#This Row],[average score]],$AE$9:$AF$13,2,TRUE)</f>
        <v>F</v>
      </c>
      <c r="M97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74" s="2" t="str">
        <f>IF(OR(Table1[[#This Row],[math score]]&lt;$AC$5,Table1[[#This Row],[reading score]]&lt;$AC$5,Table1[[#This Row],[writing score]]&lt;$AC$5), "Failed atleast one", "Passed all")</f>
        <v>Failed atleast one</v>
      </c>
      <c r="O974" t="str">
        <f>VLOOKUP(Table1[[#This Row],[average score]],$AE$9:$AG$13,3,TRUE)</f>
        <v>Poor</v>
      </c>
    </row>
    <row r="975" spans="1:15" x14ac:dyDescent="0.2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t="s">
        <v>1009</v>
      </c>
      <c r="J975">
        <f>SUM(Table1[[#This Row],[math score]:[writing score]])</f>
        <v>175</v>
      </c>
      <c r="K975" s="1">
        <f>Table1[[#This Row],[total score]]/3</f>
        <v>58.333333333333336</v>
      </c>
      <c r="L975" s="6" t="str">
        <f>VLOOKUP(Table1[[#This Row],[average score]],$AE$9:$AF$13,2,TRUE)</f>
        <v>F</v>
      </c>
      <c r="M97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75" s="2" t="str">
        <f>IF(OR(Table1[[#This Row],[math score]]&lt;$AC$5,Table1[[#This Row],[reading score]]&lt;$AC$5,Table1[[#This Row],[writing score]]&lt;$AC$5), "Failed atleast one", "Passed all")</f>
        <v>Failed atleast one</v>
      </c>
      <c r="O975" t="str">
        <f>VLOOKUP(Table1[[#This Row],[average score]],$AE$9:$AG$13,3,TRUE)</f>
        <v>Poor</v>
      </c>
    </row>
    <row r="976" spans="1:15" x14ac:dyDescent="0.2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t="s">
        <v>1010</v>
      </c>
      <c r="J976">
        <f>SUM(Table1[[#This Row],[math score]:[writing score]])</f>
        <v>184</v>
      </c>
      <c r="K976" s="1">
        <f>Table1[[#This Row],[total score]]/3</f>
        <v>61.333333333333336</v>
      </c>
      <c r="L976" s="6" t="str">
        <f>VLOOKUP(Table1[[#This Row],[average score]],$AE$9:$AF$13,2,TRUE)</f>
        <v>D</v>
      </c>
      <c r="M97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76" s="2" t="str">
        <f>IF(OR(Table1[[#This Row],[math score]]&lt;$AC$5,Table1[[#This Row],[reading score]]&lt;$AC$5,Table1[[#This Row],[writing score]]&lt;$AC$5), "Failed atleast one", "Passed all")</f>
        <v>Failed atleast one</v>
      </c>
      <c r="O976" t="str">
        <f>VLOOKUP(Table1[[#This Row],[average score]],$AE$9:$AG$13,3,TRUE)</f>
        <v>Needs improvements</v>
      </c>
    </row>
    <row r="977" spans="1:15" x14ac:dyDescent="0.2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t="s">
        <v>1011</v>
      </c>
      <c r="J977">
        <f>SUM(Table1[[#This Row],[math score]:[writing score]])</f>
        <v>223</v>
      </c>
      <c r="K977" s="1">
        <f>Table1[[#This Row],[total score]]/3</f>
        <v>74.333333333333329</v>
      </c>
      <c r="L977" s="6" t="str">
        <f>VLOOKUP(Table1[[#This Row],[average score]],$AE$9:$AF$13,2,TRUE)</f>
        <v>C</v>
      </c>
      <c r="M97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77" s="2" t="str">
        <f>IF(OR(Table1[[#This Row],[math score]]&lt;$AC$5,Table1[[#This Row],[reading score]]&lt;$AC$5,Table1[[#This Row],[writing score]]&lt;$AC$5), "Failed atleast one", "Passed all")</f>
        <v>Passed all</v>
      </c>
      <c r="O977" t="str">
        <f>VLOOKUP(Table1[[#This Row],[average score]],$AE$9:$AG$13,3,TRUE)</f>
        <v>Satisfactory</v>
      </c>
    </row>
    <row r="978" spans="1:15" x14ac:dyDescent="0.2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t="s">
        <v>1012</v>
      </c>
      <c r="J978">
        <f>SUM(Table1[[#This Row],[math score]:[writing score]])</f>
        <v>182</v>
      </c>
      <c r="K978" s="1">
        <f>Table1[[#This Row],[total score]]/3</f>
        <v>60.666666666666664</v>
      </c>
      <c r="L978" s="6" t="str">
        <f>VLOOKUP(Table1[[#This Row],[average score]],$AE$9:$AF$13,2,TRUE)</f>
        <v>D</v>
      </c>
      <c r="M97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78" s="2" t="str">
        <f>IF(OR(Table1[[#This Row],[math score]]&lt;$AC$5,Table1[[#This Row],[reading score]]&lt;$AC$5,Table1[[#This Row],[writing score]]&lt;$AC$5), "Failed atleast one", "Passed all")</f>
        <v>Passed all</v>
      </c>
      <c r="O978" t="str">
        <f>VLOOKUP(Table1[[#This Row],[average score]],$AE$9:$AG$13,3,TRUE)</f>
        <v>Needs improvements</v>
      </c>
    </row>
    <row r="979" spans="1:15" x14ac:dyDescent="0.2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t="s">
        <v>1013</v>
      </c>
      <c r="J979">
        <f>SUM(Table1[[#This Row],[math score]:[writing score]])</f>
        <v>185</v>
      </c>
      <c r="K979" s="1">
        <f>Table1[[#This Row],[total score]]/3</f>
        <v>61.666666666666664</v>
      </c>
      <c r="L979" s="6" t="str">
        <f>VLOOKUP(Table1[[#This Row],[average score]],$AE$9:$AF$13,2,TRUE)</f>
        <v>D</v>
      </c>
      <c r="M97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79" s="2" t="str">
        <f>IF(OR(Table1[[#This Row],[math score]]&lt;$AC$5,Table1[[#This Row],[reading score]]&lt;$AC$5,Table1[[#This Row],[writing score]]&lt;$AC$5), "Failed atleast one", "Passed all")</f>
        <v>Failed atleast one</v>
      </c>
      <c r="O979" t="str">
        <f>VLOOKUP(Table1[[#This Row],[average score]],$AE$9:$AG$13,3,TRUE)</f>
        <v>Needs improvements</v>
      </c>
    </row>
    <row r="980" spans="1:15" x14ac:dyDescent="0.2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t="s">
        <v>1014</v>
      </c>
      <c r="J980">
        <f>SUM(Table1[[#This Row],[math score]:[writing score]])</f>
        <v>144</v>
      </c>
      <c r="K980" s="1">
        <f>Table1[[#This Row],[total score]]/3</f>
        <v>48</v>
      </c>
      <c r="L980" s="6" t="str">
        <f>VLOOKUP(Table1[[#This Row],[average score]],$AE$9:$AF$13,2,TRUE)</f>
        <v>F</v>
      </c>
      <c r="M98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80" s="2" t="str">
        <f>IF(OR(Table1[[#This Row],[math score]]&lt;$AC$5,Table1[[#This Row],[reading score]]&lt;$AC$5,Table1[[#This Row],[writing score]]&lt;$AC$5), "Failed atleast one", "Passed all")</f>
        <v>Failed atleast one</v>
      </c>
      <c r="O980" t="str">
        <f>VLOOKUP(Table1[[#This Row],[average score]],$AE$9:$AG$13,3,TRUE)</f>
        <v>Poor</v>
      </c>
    </row>
    <row r="981" spans="1:15" x14ac:dyDescent="0.2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t="s">
        <v>1015</v>
      </c>
      <c r="J981">
        <f>SUM(Table1[[#This Row],[math score]:[writing score]])</f>
        <v>280</v>
      </c>
      <c r="K981" s="1">
        <f>Table1[[#This Row],[total score]]/3</f>
        <v>93.333333333333329</v>
      </c>
      <c r="L981" s="6" t="str">
        <f>VLOOKUP(Table1[[#This Row],[average score]],$AE$9:$AF$13,2,TRUE)</f>
        <v>A</v>
      </c>
      <c r="M98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81" s="2" t="str">
        <f>IF(OR(Table1[[#This Row],[math score]]&lt;$AC$5,Table1[[#This Row],[reading score]]&lt;$AC$5,Table1[[#This Row],[writing score]]&lt;$AC$5), "Failed atleast one", "Passed all")</f>
        <v>Passed all</v>
      </c>
      <c r="O981" t="str">
        <f>VLOOKUP(Table1[[#This Row],[average score]],$AE$9:$AG$13,3,TRUE)</f>
        <v>Outstanding</v>
      </c>
    </row>
    <row r="982" spans="1:15" x14ac:dyDescent="0.2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t="s">
        <v>1016</v>
      </c>
      <c r="J982">
        <f>SUM(Table1[[#This Row],[math score]:[writing score]])</f>
        <v>55</v>
      </c>
      <c r="K982" s="1">
        <f>Table1[[#This Row],[total score]]/3</f>
        <v>18.333333333333332</v>
      </c>
      <c r="L982" s="6" t="str">
        <f>VLOOKUP(Table1[[#This Row],[average score]],$AE$9:$AF$13,2,TRUE)</f>
        <v>F</v>
      </c>
      <c r="M98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82" s="2" t="str">
        <f>IF(OR(Table1[[#This Row],[math score]]&lt;$AC$5,Table1[[#This Row],[reading score]]&lt;$AC$5,Table1[[#This Row],[writing score]]&lt;$AC$5), "Failed atleast one", "Passed all")</f>
        <v>Failed atleast one</v>
      </c>
      <c r="O982" t="str">
        <f>VLOOKUP(Table1[[#This Row],[average score]],$AE$9:$AG$13,3,TRUE)</f>
        <v>Poor</v>
      </c>
    </row>
    <row r="983" spans="1:15" x14ac:dyDescent="0.2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t="s">
        <v>1017</v>
      </c>
      <c r="J983">
        <f>SUM(Table1[[#This Row],[math score]:[writing score]])</f>
        <v>237</v>
      </c>
      <c r="K983" s="1">
        <f>Table1[[#This Row],[total score]]/3</f>
        <v>79</v>
      </c>
      <c r="L983" s="6" t="str">
        <f>VLOOKUP(Table1[[#This Row],[average score]],$AE$9:$AF$13,2,TRUE)</f>
        <v>C</v>
      </c>
      <c r="M98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83" s="2" t="str">
        <f>IF(OR(Table1[[#This Row],[math score]]&lt;$AC$5,Table1[[#This Row],[reading score]]&lt;$AC$5,Table1[[#This Row],[writing score]]&lt;$AC$5), "Failed atleast one", "Passed all")</f>
        <v>Passed all</v>
      </c>
      <c r="O983" t="str">
        <f>VLOOKUP(Table1[[#This Row],[average score]],$AE$9:$AG$13,3,TRUE)</f>
        <v>Satisfactory</v>
      </c>
    </row>
    <row r="984" spans="1:15" x14ac:dyDescent="0.2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t="s">
        <v>1018</v>
      </c>
      <c r="J984">
        <f>SUM(Table1[[#This Row],[math score]:[writing score]])</f>
        <v>250</v>
      </c>
      <c r="K984" s="1">
        <f>Table1[[#This Row],[total score]]/3</f>
        <v>83.333333333333329</v>
      </c>
      <c r="L984" s="6" t="str">
        <f>VLOOKUP(Table1[[#This Row],[average score]],$AE$9:$AF$13,2,TRUE)</f>
        <v>B</v>
      </c>
      <c r="M98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84" s="2" t="str">
        <f>IF(OR(Table1[[#This Row],[math score]]&lt;$AC$5,Table1[[#This Row],[reading score]]&lt;$AC$5,Table1[[#This Row],[writing score]]&lt;$AC$5), "Failed atleast one", "Passed all")</f>
        <v>Passed all</v>
      </c>
      <c r="O984" t="str">
        <f>VLOOKUP(Table1[[#This Row],[average score]],$AE$9:$AG$13,3,TRUE)</f>
        <v xml:space="preserve">Good </v>
      </c>
    </row>
    <row r="985" spans="1:15" x14ac:dyDescent="0.2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t="s">
        <v>1019</v>
      </c>
      <c r="J985">
        <f>SUM(Table1[[#This Row],[math score]:[writing score]])</f>
        <v>256</v>
      </c>
      <c r="K985" s="1">
        <f>Table1[[#This Row],[total score]]/3</f>
        <v>85.333333333333329</v>
      </c>
      <c r="L985" s="6" t="str">
        <f>VLOOKUP(Table1[[#This Row],[average score]],$AE$9:$AF$13,2,TRUE)</f>
        <v>B</v>
      </c>
      <c r="M98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85" s="2" t="str">
        <f>IF(OR(Table1[[#This Row],[math score]]&lt;$AC$5,Table1[[#This Row],[reading score]]&lt;$AC$5,Table1[[#This Row],[writing score]]&lt;$AC$5), "Failed atleast one", "Passed all")</f>
        <v>Passed all</v>
      </c>
      <c r="O985" t="str">
        <f>VLOOKUP(Table1[[#This Row],[average score]],$AE$9:$AG$13,3,TRUE)</f>
        <v xml:space="preserve">Good </v>
      </c>
    </row>
    <row r="986" spans="1:15" x14ac:dyDescent="0.2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t="s">
        <v>1020</v>
      </c>
      <c r="J986">
        <f>SUM(Table1[[#This Row],[math score]:[writing score]])</f>
        <v>231</v>
      </c>
      <c r="K986" s="1">
        <f>Table1[[#This Row],[total score]]/3</f>
        <v>77</v>
      </c>
      <c r="L986" s="6" t="str">
        <f>VLOOKUP(Table1[[#This Row],[average score]],$AE$9:$AF$13,2,TRUE)</f>
        <v>C</v>
      </c>
      <c r="M98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86" s="2" t="str">
        <f>IF(OR(Table1[[#This Row],[math score]]&lt;$AC$5,Table1[[#This Row],[reading score]]&lt;$AC$5,Table1[[#This Row],[writing score]]&lt;$AC$5), "Failed atleast one", "Passed all")</f>
        <v>Passed all</v>
      </c>
      <c r="O986" t="str">
        <f>VLOOKUP(Table1[[#This Row],[average score]],$AE$9:$AG$13,3,TRUE)</f>
        <v>Satisfactory</v>
      </c>
    </row>
    <row r="987" spans="1:15" x14ac:dyDescent="0.2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t="s">
        <v>1021</v>
      </c>
      <c r="J987">
        <f>SUM(Table1[[#This Row],[math score]:[writing score]])</f>
        <v>162</v>
      </c>
      <c r="K987" s="1">
        <f>Table1[[#This Row],[total score]]/3</f>
        <v>54</v>
      </c>
      <c r="L987" s="6" t="str">
        <f>VLOOKUP(Table1[[#This Row],[average score]],$AE$9:$AF$13,2,TRUE)</f>
        <v>F</v>
      </c>
      <c r="M98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87" s="2" t="str">
        <f>IF(OR(Table1[[#This Row],[math score]]&lt;$AC$5,Table1[[#This Row],[reading score]]&lt;$AC$5,Table1[[#This Row],[writing score]]&lt;$AC$5), "Failed atleast one", "Passed all")</f>
        <v>Failed atleast one</v>
      </c>
      <c r="O987" t="str">
        <f>VLOOKUP(Table1[[#This Row],[average score]],$AE$9:$AG$13,3,TRUE)</f>
        <v>Poor</v>
      </c>
    </row>
    <row r="988" spans="1:15" x14ac:dyDescent="0.2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t="s">
        <v>1022</v>
      </c>
      <c r="J988">
        <f>SUM(Table1[[#This Row],[math score]:[writing score]])</f>
        <v>150</v>
      </c>
      <c r="K988" s="1">
        <f>Table1[[#This Row],[total score]]/3</f>
        <v>50</v>
      </c>
      <c r="L988" s="6" t="str">
        <f>VLOOKUP(Table1[[#This Row],[average score]],$AE$9:$AF$13,2,TRUE)</f>
        <v>F</v>
      </c>
      <c r="M98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88" s="2" t="str">
        <f>IF(OR(Table1[[#This Row],[math score]]&lt;$AC$5,Table1[[#This Row],[reading score]]&lt;$AC$5,Table1[[#This Row],[writing score]]&lt;$AC$5), "Failed atleast one", "Passed all")</f>
        <v>Failed atleast one</v>
      </c>
      <c r="O988" t="str">
        <f>VLOOKUP(Table1[[#This Row],[average score]],$AE$9:$AG$13,3,TRUE)</f>
        <v>Poor</v>
      </c>
    </row>
    <row r="989" spans="1:15" x14ac:dyDescent="0.2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t="s">
        <v>1023</v>
      </c>
      <c r="J989">
        <f>SUM(Table1[[#This Row],[math score]:[writing score]])</f>
        <v>232</v>
      </c>
      <c r="K989" s="1">
        <f>Table1[[#This Row],[total score]]/3</f>
        <v>77.333333333333329</v>
      </c>
      <c r="L989" s="6" t="str">
        <f>VLOOKUP(Table1[[#This Row],[average score]],$AE$9:$AF$13,2,TRUE)</f>
        <v>C</v>
      </c>
      <c r="M98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89" s="2" t="str">
        <f>IF(OR(Table1[[#This Row],[math score]]&lt;$AC$5,Table1[[#This Row],[reading score]]&lt;$AC$5,Table1[[#This Row],[writing score]]&lt;$AC$5), "Failed atleast one", "Passed all")</f>
        <v>Passed all</v>
      </c>
      <c r="O989" t="str">
        <f>VLOOKUP(Table1[[#This Row],[average score]],$AE$9:$AG$13,3,TRUE)</f>
        <v>Satisfactory</v>
      </c>
    </row>
    <row r="990" spans="1:15" x14ac:dyDescent="0.2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t="s">
        <v>1024</v>
      </c>
      <c r="J990">
        <f>SUM(Table1[[#This Row],[math score]:[writing score]])</f>
        <v>134</v>
      </c>
      <c r="K990" s="1">
        <f>Table1[[#This Row],[total score]]/3</f>
        <v>44.666666666666664</v>
      </c>
      <c r="L990" s="6" t="str">
        <f>VLOOKUP(Table1[[#This Row],[average score]],$AE$9:$AF$13,2,TRUE)</f>
        <v>F</v>
      </c>
      <c r="M99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90" s="2" t="str">
        <f>IF(OR(Table1[[#This Row],[math score]]&lt;$AC$5,Table1[[#This Row],[reading score]]&lt;$AC$5,Table1[[#This Row],[writing score]]&lt;$AC$5), "Failed atleast one", "Passed all")</f>
        <v>Failed atleast one</v>
      </c>
      <c r="O990" t="str">
        <f>VLOOKUP(Table1[[#This Row],[average score]],$AE$9:$AG$13,3,TRUE)</f>
        <v>Poor</v>
      </c>
    </row>
    <row r="991" spans="1:15" x14ac:dyDescent="0.2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t="s">
        <v>1025</v>
      </c>
      <c r="J991">
        <f>SUM(Table1[[#This Row],[math score]:[writing score]])</f>
        <v>236</v>
      </c>
      <c r="K991" s="1">
        <f>Table1[[#This Row],[total score]]/3</f>
        <v>78.666666666666671</v>
      </c>
      <c r="L991" s="6" t="str">
        <f>VLOOKUP(Table1[[#This Row],[average score]],$AE$9:$AF$13,2,TRUE)</f>
        <v>C</v>
      </c>
      <c r="M99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91" s="2" t="str">
        <f>IF(OR(Table1[[#This Row],[math score]]&lt;$AC$5,Table1[[#This Row],[reading score]]&lt;$AC$5,Table1[[#This Row],[writing score]]&lt;$AC$5), "Failed atleast one", "Passed all")</f>
        <v>Passed all</v>
      </c>
      <c r="O991" t="str">
        <f>VLOOKUP(Table1[[#This Row],[average score]],$AE$9:$AG$13,3,TRUE)</f>
        <v>Satisfactory</v>
      </c>
    </row>
    <row r="992" spans="1:15" x14ac:dyDescent="0.2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t="s">
        <v>1026</v>
      </c>
      <c r="J992">
        <f>SUM(Table1[[#This Row],[math score]:[writing score]])</f>
        <v>242</v>
      </c>
      <c r="K992" s="1">
        <f>Table1[[#This Row],[total score]]/3</f>
        <v>80.666666666666671</v>
      </c>
      <c r="L992" s="6" t="str">
        <f>VLOOKUP(Table1[[#This Row],[average score]],$AE$9:$AF$13,2,TRUE)</f>
        <v>B</v>
      </c>
      <c r="M992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992" s="2" t="str">
        <f>IF(OR(Table1[[#This Row],[math score]]&lt;$AC$5,Table1[[#This Row],[reading score]]&lt;$AC$5,Table1[[#This Row],[writing score]]&lt;$AC$5), "Failed atleast one", "Passed all")</f>
        <v>Passed all</v>
      </c>
      <c r="O992" t="str">
        <f>VLOOKUP(Table1[[#This Row],[average score]],$AE$9:$AG$13,3,TRUE)</f>
        <v xml:space="preserve">Good </v>
      </c>
    </row>
    <row r="993" spans="1:15" x14ac:dyDescent="0.2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t="s">
        <v>1027</v>
      </c>
      <c r="J993">
        <f>SUM(Table1[[#This Row],[math score]:[writing score]])</f>
        <v>225</v>
      </c>
      <c r="K993" s="1">
        <f>Table1[[#This Row],[total score]]/3</f>
        <v>75</v>
      </c>
      <c r="L993" s="6" t="str">
        <f>VLOOKUP(Table1[[#This Row],[average score]],$AE$9:$AF$13,2,TRUE)</f>
        <v>C</v>
      </c>
      <c r="M993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993" s="2" t="str">
        <f>IF(OR(Table1[[#This Row],[math score]]&lt;$AC$5,Table1[[#This Row],[reading score]]&lt;$AC$5,Table1[[#This Row],[writing score]]&lt;$AC$5), "Failed atleast one", "Passed all")</f>
        <v>Passed all</v>
      </c>
      <c r="O993" t="str">
        <f>VLOOKUP(Table1[[#This Row],[average score]],$AE$9:$AG$13,3,TRUE)</f>
        <v>Satisfactory</v>
      </c>
    </row>
    <row r="994" spans="1:15" x14ac:dyDescent="0.2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t="s">
        <v>1028</v>
      </c>
      <c r="J994">
        <f>SUM(Table1[[#This Row],[math score]:[writing score]])</f>
        <v>207</v>
      </c>
      <c r="K994" s="1">
        <f>Table1[[#This Row],[total score]]/3</f>
        <v>69</v>
      </c>
      <c r="L994" s="6" t="str">
        <f>VLOOKUP(Table1[[#This Row],[average score]],$AE$9:$AF$13,2,TRUE)</f>
        <v>D</v>
      </c>
      <c r="M994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94" s="2" t="str">
        <f>IF(OR(Table1[[#This Row],[math score]]&lt;$AC$5,Table1[[#This Row],[reading score]]&lt;$AC$5,Table1[[#This Row],[writing score]]&lt;$AC$5), "Failed atleast one", "Passed all")</f>
        <v>Failed atleast one</v>
      </c>
      <c r="O994" t="str">
        <f>VLOOKUP(Table1[[#This Row],[average score]],$AE$9:$AG$13,3,TRUE)</f>
        <v>Needs improvements</v>
      </c>
    </row>
    <row r="995" spans="1:15" x14ac:dyDescent="0.2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t="s">
        <v>1029</v>
      </c>
      <c r="J995">
        <f>SUM(Table1[[#This Row],[math score]:[writing score]])</f>
        <v>208</v>
      </c>
      <c r="K995" s="1">
        <f>Table1[[#This Row],[total score]]/3</f>
        <v>69.333333333333329</v>
      </c>
      <c r="L995" s="6" t="str">
        <f>VLOOKUP(Table1[[#This Row],[average score]],$AE$9:$AF$13,2,TRUE)</f>
        <v>D</v>
      </c>
      <c r="M995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95" s="2" t="str">
        <f>IF(OR(Table1[[#This Row],[math score]]&lt;$AC$5,Table1[[#This Row],[reading score]]&lt;$AC$5,Table1[[#This Row],[writing score]]&lt;$AC$5), "Failed atleast one", "Passed all")</f>
        <v>Passed all</v>
      </c>
      <c r="O995" t="str">
        <f>VLOOKUP(Table1[[#This Row],[average score]],$AE$9:$AG$13,3,TRUE)</f>
        <v>Needs improvements</v>
      </c>
    </row>
    <row r="996" spans="1:15" x14ac:dyDescent="0.2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t="s">
        <v>1030</v>
      </c>
      <c r="J996">
        <f>SUM(Table1[[#This Row],[math score]:[writing score]])</f>
        <v>188</v>
      </c>
      <c r="K996" s="1">
        <f>Table1[[#This Row],[total score]]/3</f>
        <v>62.666666666666664</v>
      </c>
      <c r="L996" s="6" t="str">
        <f>VLOOKUP(Table1[[#This Row],[average score]],$AE$9:$AF$13,2,TRUE)</f>
        <v>D</v>
      </c>
      <c r="M996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96" s="2" t="str">
        <f>IF(OR(Table1[[#This Row],[math score]]&lt;$AC$5,Table1[[#This Row],[reading score]]&lt;$AC$5,Table1[[#This Row],[writing score]]&lt;$AC$5), "Failed atleast one", "Passed all")</f>
        <v>Passed all</v>
      </c>
      <c r="O996" t="str">
        <f>VLOOKUP(Table1[[#This Row],[average score]],$AE$9:$AG$13,3,TRUE)</f>
        <v>Needs improvements</v>
      </c>
    </row>
    <row r="997" spans="1:15" x14ac:dyDescent="0.2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t="s">
        <v>1031</v>
      </c>
      <c r="J997">
        <f>SUM(Table1[[#This Row],[math score]:[writing score]])</f>
        <v>282</v>
      </c>
      <c r="K997" s="1">
        <f>Table1[[#This Row],[total score]]/3</f>
        <v>94</v>
      </c>
      <c r="L997" s="6" t="str">
        <f>VLOOKUP(Table1[[#This Row],[average score]],$AE$9:$AF$13,2,TRUE)</f>
        <v>A</v>
      </c>
      <c r="M997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Excellent work</v>
      </c>
      <c r="N997" s="2" t="str">
        <f>IF(OR(Table1[[#This Row],[math score]]&lt;$AC$5,Table1[[#This Row],[reading score]]&lt;$AC$5,Table1[[#This Row],[writing score]]&lt;$AC$5), "Failed atleast one", "Passed all")</f>
        <v>Passed all</v>
      </c>
      <c r="O997" t="str">
        <f>VLOOKUP(Table1[[#This Row],[average score]],$AE$9:$AG$13,3,TRUE)</f>
        <v>Outstanding</v>
      </c>
    </row>
    <row r="998" spans="1:15" x14ac:dyDescent="0.2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t="s">
        <v>1032</v>
      </c>
      <c r="J998">
        <f>SUM(Table1[[#This Row],[math score]:[writing score]])</f>
        <v>172</v>
      </c>
      <c r="K998" s="1">
        <f>Table1[[#This Row],[total score]]/3</f>
        <v>57.333333333333336</v>
      </c>
      <c r="L998" s="6" t="str">
        <f>VLOOKUP(Table1[[#This Row],[average score]],$AE$9:$AF$13,2,TRUE)</f>
        <v>F</v>
      </c>
      <c r="M998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Fail</v>
      </c>
      <c r="N998" s="2" t="str">
        <f>IF(OR(Table1[[#This Row],[math score]]&lt;$AC$5,Table1[[#This Row],[reading score]]&lt;$AC$5,Table1[[#This Row],[writing score]]&lt;$AC$5), "Failed atleast one", "Passed all")</f>
        <v>Failed atleast one</v>
      </c>
      <c r="O998" t="str">
        <f>VLOOKUP(Table1[[#This Row],[average score]],$AE$9:$AG$13,3,TRUE)</f>
        <v>Poor</v>
      </c>
    </row>
    <row r="999" spans="1:15" x14ac:dyDescent="0.2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t="s">
        <v>1033</v>
      </c>
      <c r="J999">
        <f>SUM(Table1[[#This Row],[math score]:[writing score]])</f>
        <v>195</v>
      </c>
      <c r="K999" s="1">
        <f>Table1[[#This Row],[total score]]/3</f>
        <v>65</v>
      </c>
      <c r="L999" s="6" t="str">
        <f>VLOOKUP(Table1[[#This Row],[average score]],$AE$9:$AF$13,2,TRUE)</f>
        <v>D</v>
      </c>
      <c r="M999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Low pass</v>
      </c>
      <c r="N999" s="2" t="str">
        <f>IF(OR(Table1[[#This Row],[math score]]&lt;$AC$5,Table1[[#This Row],[reading score]]&lt;$AC$5,Table1[[#This Row],[writing score]]&lt;$AC$5), "Failed atleast one", "Passed all")</f>
        <v>Failed atleast one</v>
      </c>
      <c r="O999" t="str">
        <f>VLOOKUP(Table1[[#This Row],[average score]],$AE$9:$AG$13,3,TRUE)</f>
        <v>Needs improvements</v>
      </c>
    </row>
    <row r="1000" spans="1:15" x14ac:dyDescent="0.2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t="s">
        <v>1034</v>
      </c>
      <c r="J1000">
        <f>SUM(Table1[[#This Row],[math score]:[writing score]])</f>
        <v>223</v>
      </c>
      <c r="K1000" s="1">
        <f>Table1[[#This Row],[total score]]/3</f>
        <v>74.333333333333329</v>
      </c>
      <c r="L1000" s="6" t="str">
        <f>VLOOKUP(Table1[[#This Row],[average score]],$AE$9:$AF$13,2,TRUE)</f>
        <v>C</v>
      </c>
      <c r="M1000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Average work</v>
      </c>
      <c r="N1000" s="2" t="str">
        <f>IF(OR(Table1[[#This Row],[math score]]&lt;$AC$5,Table1[[#This Row],[reading score]]&lt;$AC$5,Table1[[#This Row],[writing score]]&lt;$AC$5), "Failed atleast one", "Passed all")</f>
        <v>Passed all</v>
      </c>
      <c r="O1000" t="str">
        <f>VLOOKUP(Table1[[#This Row],[average score]],$AE$9:$AG$13,3,TRUE)</f>
        <v>Satisfactory</v>
      </c>
    </row>
    <row r="1001" spans="1:15" x14ac:dyDescent="0.2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t="s">
        <v>1035</v>
      </c>
      <c r="J1001">
        <f>SUM(Table1[[#This Row],[math score]:[writing score]])</f>
        <v>249</v>
      </c>
      <c r="K1001" s="1">
        <f>Table1[[#This Row],[total score]]/3</f>
        <v>83</v>
      </c>
      <c r="L1001" s="6" t="str">
        <f>VLOOKUP(Table1[[#This Row],[average score]],$AE$9:$AF$13,2,TRUE)</f>
        <v>B</v>
      </c>
      <c r="M1001" s="2" t="str">
        <f>IF(
        Table1[[#This Row],[grade]]=$AF$13, $AH$13,
IF(
        Table1[[#This Row],[grade]]=$AF$12, $AH$12,
IF(
        Table1[[#This Row],[grade]]=$AF$11, $AH$11,
IF(
        Table1[[#This Row],[grade]]=$AF$10, $AH$10,
IF(
          Table1[[#This Row],[grade]]=$AF$9, $AH$9)))))</f>
        <v>Good work</v>
      </c>
      <c r="N1001" s="2" t="str">
        <f>IF(OR(Table1[[#This Row],[math score]]&lt;$AC$5,Table1[[#This Row],[reading score]]&lt;$AC$5,Table1[[#This Row],[writing score]]&lt;$AC$5), "Failed atleast one", "Passed all")</f>
        <v>Passed all</v>
      </c>
      <c r="O1001" t="str">
        <f>VLOOKUP(Table1[[#This Row],[average score]],$AE$9:$AG$13,3,TRUE)</f>
        <v xml:space="preserve">Good </v>
      </c>
    </row>
    <row r="1002" spans="1:15" x14ac:dyDescent="0.2">
      <c r="J1002" s="9"/>
      <c r="K1002" s="9">
        <f>SUBTOTAL(103,Table1[average score])</f>
        <v>1000</v>
      </c>
      <c r="L1002" s="11"/>
      <c r="M1002" s="12"/>
      <c r="N1002" s="12"/>
      <c r="O1002" s="9"/>
    </row>
  </sheetData>
  <conditionalFormatting sqref="M1:M1001">
    <cfRule type="expression" dxfId="1" priority="4">
      <formula>($K1&lt;$AE$10)*($M:$M&lt;&gt;"")</formula>
    </cfRule>
  </conditionalFormatting>
  <conditionalFormatting sqref="M2:M1001">
    <cfRule type="expression" dxfId="0" priority="3">
      <formula>$K2&gt;=$AE$13</formula>
    </cfRule>
  </conditionalFormatting>
  <pageMargins left="0.7" right="0.7" top="0.75" bottom="0.75" header="0.3" footer="0.3"/>
  <pageSetup paperSize="120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2"/>
  <sheetViews>
    <sheetView workbookViewId="0">
      <selection activeCell="B46" sqref="B46"/>
    </sheetView>
  </sheetViews>
  <sheetFormatPr defaultRowHeight="15" x14ac:dyDescent="0.2"/>
  <cols>
    <col min="1" max="1" width="40.7578125" bestFit="1" customWidth="1"/>
    <col min="2" max="2" width="24.6171875" bestFit="1" customWidth="1"/>
    <col min="3" max="3" width="29.7265625" bestFit="1" customWidth="1"/>
    <col min="4" max="4" width="11.56640625" hidden="1" customWidth="1"/>
    <col min="5" max="6" width="8.875" hidden="1" customWidth="1"/>
  </cols>
  <sheetData>
    <row r="2" spans="1:6" x14ac:dyDescent="0.2">
      <c r="A2" s="10" t="s">
        <v>1049</v>
      </c>
      <c r="B2" s="5">
        <f>COUNTA(Table1[race/ethnicity])</f>
        <v>1000</v>
      </c>
    </row>
    <row r="4" spans="1:6" x14ac:dyDescent="0.2">
      <c r="A4" s="3" t="s">
        <v>1050</v>
      </c>
      <c r="B4" s="5">
        <f>total_number_of_student-B5</f>
        <v>715</v>
      </c>
      <c r="C4" s="7">
        <f>B4/$B$6</f>
        <v>0.71499999999999997</v>
      </c>
    </row>
    <row r="5" spans="1:6" x14ac:dyDescent="0.2">
      <c r="A5" s="3" t="s">
        <v>1051</v>
      </c>
      <c r="B5" s="5">
        <f>COUNTIF(Table1[pass/fail], "Fail")</f>
        <v>285</v>
      </c>
      <c r="C5" s="7">
        <f>B5/$B$6</f>
        <v>0.28499999999999998</v>
      </c>
    </row>
    <row r="6" spans="1:6" x14ac:dyDescent="0.2">
      <c r="A6" s="3" t="s">
        <v>1048</v>
      </c>
      <c r="B6" s="5">
        <f>SUM(B4:B5)</f>
        <v>1000</v>
      </c>
      <c r="C6" s="7">
        <f>B6/$B$6</f>
        <v>1</v>
      </c>
    </row>
    <row r="8" spans="1:6" x14ac:dyDescent="0.2">
      <c r="A8" s="3" t="s">
        <v>1074</v>
      </c>
      <c r="B8" s="5">
        <f>COUNTIFS(Table1[gender],ANALYSIS!$E$12,Table1[pass/fail],ANALYSIS!$E$13)</f>
        <v>161</v>
      </c>
    </row>
    <row r="9" spans="1:6" x14ac:dyDescent="0.2">
      <c r="A9" s="3" t="s">
        <v>1075</v>
      </c>
      <c r="B9" s="5">
        <f>COUNTIFS(Table1[gender],$F$11,Table1[pass/fail],ANALYSIS!$E$13)</f>
        <v>124</v>
      </c>
      <c r="D9" t="str">
        <f xml:space="preserve"> "Male" &amp;": "&amp; B8</f>
        <v>Male: 161</v>
      </c>
    </row>
    <row r="10" spans="1:6" x14ac:dyDescent="0.2">
      <c r="A10" s="3" t="s">
        <v>1064</v>
      </c>
      <c r="B10" s="7">
        <f>SUM(B8:B9)/total_number_of_student</f>
        <v>0.28499999999999998</v>
      </c>
      <c r="D10" t="str">
        <f xml:space="preserve"> "Female" &amp;": "&amp; B9</f>
        <v>Female: 124</v>
      </c>
    </row>
    <row r="11" spans="1:6" x14ac:dyDescent="0.2">
      <c r="F11" t="s">
        <v>8</v>
      </c>
    </row>
    <row r="12" spans="1:6" x14ac:dyDescent="0.2">
      <c r="A12" s="15" t="str">
        <f>A20</f>
        <v>level of education</v>
      </c>
      <c r="B12" s="15" t="s">
        <v>1073</v>
      </c>
      <c r="E12" t="s">
        <v>17</v>
      </c>
    </row>
    <row r="13" spans="1:6" x14ac:dyDescent="0.2">
      <c r="A13" s="3" t="s">
        <v>10</v>
      </c>
      <c r="B13" s="5">
        <f>COUNTIF(Table1[parental level of education],ANALYSIS!A14)</f>
        <v>226</v>
      </c>
      <c r="C13" s="5" t="str">
        <f t="shared" ref="C13:C18" si="0">A13 &amp;": " &amp; B13</f>
        <v>bachelor's degree: 226</v>
      </c>
      <c r="E13" t="s">
        <v>1037</v>
      </c>
    </row>
    <row r="14" spans="1:6" x14ac:dyDescent="0.2">
      <c r="A14" s="3" t="s">
        <v>14</v>
      </c>
      <c r="B14" s="5">
        <f>COUNTIF(Table1[parental level of education],ANALYSIS!A16)</f>
        <v>222</v>
      </c>
      <c r="C14" s="5" t="str">
        <f t="shared" si="0"/>
        <v>some college: 222</v>
      </c>
      <c r="D14" t="s">
        <v>15</v>
      </c>
      <c r="E14" t="s">
        <v>1058</v>
      </c>
      <c r="F14" t="s">
        <v>1037</v>
      </c>
    </row>
    <row r="15" spans="1:6" x14ac:dyDescent="0.2">
      <c r="A15" s="3" t="s">
        <v>16</v>
      </c>
      <c r="B15" s="5">
        <f>COUNTIF(Table1[parental level of education],ANALYSIS!A17)</f>
        <v>196</v>
      </c>
      <c r="C15" s="5" t="str">
        <f t="shared" si="0"/>
        <v>master's degree: 196</v>
      </c>
      <c r="E15" t="s">
        <v>12</v>
      </c>
    </row>
    <row r="16" spans="1:6" x14ac:dyDescent="0.2">
      <c r="A16" s="3" t="s">
        <v>19</v>
      </c>
      <c r="B16" s="5">
        <f>COUNTIF(Table1[parental level of education],ANALYSIS!A18)</f>
        <v>179</v>
      </c>
      <c r="C16" s="5" t="str">
        <f t="shared" si="0"/>
        <v>associate's degree: 179</v>
      </c>
    </row>
    <row r="17" spans="1:3" x14ac:dyDescent="0.2">
      <c r="A17" s="3" t="s">
        <v>22</v>
      </c>
      <c r="B17" s="5">
        <f>COUNTIF(Table1[parental level of education],ANALYSIS!A13)</f>
        <v>118</v>
      </c>
      <c r="C17" s="5" t="str">
        <f t="shared" si="0"/>
        <v>high school: 118</v>
      </c>
    </row>
    <row r="18" spans="1:3" x14ac:dyDescent="0.2">
      <c r="A18" s="3" t="s">
        <v>23</v>
      </c>
      <c r="B18" s="5">
        <f>COUNTIF(Table1[parental level of education],ANALYSIS!A15)</f>
        <v>59</v>
      </c>
      <c r="C18" s="5" t="str">
        <f t="shared" si="0"/>
        <v>some high school: 59</v>
      </c>
    </row>
    <row r="20" spans="1:3" x14ac:dyDescent="0.2">
      <c r="A20" s="15" t="s">
        <v>1071</v>
      </c>
      <c r="B20" s="15" t="s">
        <v>1072</v>
      </c>
      <c r="C20" s="15" t="s">
        <v>1064</v>
      </c>
    </row>
    <row r="21" spans="1:3" x14ac:dyDescent="0.2">
      <c r="A21" s="3" t="s">
        <v>22</v>
      </c>
      <c r="B21" s="5">
        <f>COUNTIFS(Table1[parental level of education],ANALYSIS!$A24,Table1[pass/fail],$E$13)</f>
        <v>10</v>
      </c>
      <c r="C21" s="7">
        <f>B21/total_number_of_student</f>
        <v>0.01</v>
      </c>
    </row>
    <row r="22" spans="1:3" x14ac:dyDescent="0.2">
      <c r="A22" s="3" t="s">
        <v>23</v>
      </c>
      <c r="B22" s="5">
        <f>COUNTIFS(Table1[parental level of education],ANALYSIS!$A26,Table1[pass/fail],$E$13)</f>
        <v>21</v>
      </c>
      <c r="C22" s="7">
        <f>B22/total_number_of_student</f>
        <v>2.1000000000000001E-2</v>
      </c>
    </row>
    <row r="23" spans="1:3" x14ac:dyDescent="0.2">
      <c r="A23" s="3" t="s">
        <v>19</v>
      </c>
      <c r="B23" s="5">
        <f>COUNTIFS(Table1[parental level of education],ANALYSIS!$A25,Table1[pass/fail],$E$13)</f>
        <v>55</v>
      </c>
      <c r="C23" s="7">
        <f>B23/total_number_of_student</f>
        <v>5.5E-2</v>
      </c>
    </row>
    <row r="24" spans="1:3" x14ac:dyDescent="0.2">
      <c r="A24" s="3" t="s">
        <v>16</v>
      </c>
      <c r="B24" s="5">
        <f>COUNTIFS(Table1[parental level of education],ANALYSIS!$A23,Table1[pass/fail],$E$13)</f>
        <v>59</v>
      </c>
      <c r="C24" s="7">
        <f>B24/total_number_of_student</f>
        <v>5.8999999999999997E-2</v>
      </c>
    </row>
    <row r="25" spans="1:3" x14ac:dyDescent="0.2">
      <c r="A25" s="3" t="s">
        <v>14</v>
      </c>
      <c r="B25" s="5">
        <f>COUNTIFS(Table1[parental level of education],ANALYSIS!$A22,Table1[pass/fail],$E$13)</f>
        <v>64</v>
      </c>
      <c r="C25" s="7">
        <f>B25/total_number_of_student</f>
        <v>6.4000000000000001E-2</v>
      </c>
    </row>
    <row r="26" spans="1:3" x14ac:dyDescent="0.2">
      <c r="A26" s="3" t="s">
        <v>10</v>
      </c>
      <c r="B26" s="5">
        <f>COUNTIFS(Table1[parental level of education],ANALYSIS!$A21,Table1[pass/fail],$E$13)</f>
        <v>76</v>
      </c>
      <c r="C26" s="7">
        <f>B26/total_number_of_student</f>
        <v>7.5999999999999998E-2</v>
      </c>
    </row>
    <row r="29" spans="1:3" x14ac:dyDescent="0.2">
      <c r="A29" s="3" t="s">
        <v>1054</v>
      </c>
      <c r="B29" s="5">
        <f>COUNTIFS(Table1[test preparation course],ANALYSIS!$E$15,Table1[pass/fail],"&lt;&gt;Fail")</f>
        <v>417</v>
      </c>
    </row>
    <row r="30" spans="1:3" x14ac:dyDescent="0.2">
      <c r="A30" s="3" t="s">
        <v>1056</v>
      </c>
      <c r="B30" s="5">
        <f>COUNTIFS(Table1[test preparation course],$D$14,Table1[pass/fail],"&lt;&gt;Fail")</f>
        <v>298</v>
      </c>
    </row>
    <row r="31" spans="1:3" x14ac:dyDescent="0.2">
      <c r="A31" s="3" t="s">
        <v>1057</v>
      </c>
      <c r="B31" s="5">
        <f>COUNTIFS(Table1[test preparation course],ANALYSIS!$E$15,Table1[pass/fail],$F$14)</f>
        <v>225</v>
      </c>
    </row>
    <row r="32" spans="1:3" x14ac:dyDescent="0.2">
      <c r="A32" s="3" t="s">
        <v>1055</v>
      </c>
      <c r="B32" s="5">
        <f>COUNTIFS(Table1[test preparation course],ANALYSIS!$D$14,Table1[pass/fail],$E$13)</f>
        <v>60</v>
      </c>
    </row>
    <row r="34" spans="1:3" x14ac:dyDescent="0.2">
      <c r="A34" s="15" t="s">
        <v>1062</v>
      </c>
      <c r="B34" s="15" t="s">
        <v>1070</v>
      </c>
    </row>
    <row r="35" spans="1:3" x14ac:dyDescent="0.2">
      <c r="A35" s="3" t="s">
        <v>1066</v>
      </c>
      <c r="B35" s="13">
        <f>AVERAGE(Table1[math score])</f>
        <v>66.088999999999999</v>
      </c>
    </row>
    <row r="36" spans="1:3" x14ac:dyDescent="0.2">
      <c r="A36" s="3" t="s">
        <v>1065</v>
      </c>
      <c r="B36" s="13">
        <f>AVERAGE(Table1[reading score])</f>
        <v>69.168999999999997</v>
      </c>
    </row>
    <row r="37" spans="1:3" x14ac:dyDescent="0.2">
      <c r="A37" s="3" t="s">
        <v>1067</v>
      </c>
      <c r="B37" s="13">
        <f>AVERAGE(Table1[writing score])</f>
        <v>68.054000000000002</v>
      </c>
    </row>
    <row r="39" spans="1:3" x14ac:dyDescent="0.2">
      <c r="A39" s="14" t="s">
        <v>1062</v>
      </c>
      <c r="B39" s="15" t="s">
        <v>1063</v>
      </c>
      <c r="C39" s="15" t="s">
        <v>1064</v>
      </c>
    </row>
    <row r="40" spans="1:3" x14ac:dyDescent="0.2">
      <c r="A40" s="3" t="s">
        <v>1059</v>
      </c>
      <c r="B40" s="5">
        <f>COUNTIF(Table1[math score],"&lt;60")</f>
        <v>323</v>
      </c>
      <c r="C40" s="7">
        <f>B40/total_number_of_student</f>
        <v>0.32300000000000001</v>
      </c>
    </row>
    <row r="41" spans="1:3" x14ac:dyDescent="0.2">
      <c r="A41" s="3" t="s">
        <v>1060</v>
      </c>
      <c r="B41" s="5">
        <f>COUNTIF(Table1[reading score],"&lt;60")</f>
        <v>254</v>
      </c>
      <c r="C41" s="7">
        <f>B41/total_number_of_student</f>
        <v>0.254</v>
      </c>
    </row>
    <row r="42" spans="1:3" x14ac:dyDescent="0.2">
      <c r="A42" s="3" t="s">
        <v>1061</v>
      </c>
      <c r="B42" s="5">
        <f>COUNTIF(Table1[writing score],"&lt;60")</f>
        <v>281</v>
      </c>
      <c r="C42" s="7">
        <f>B42/total_number_of_student</f>
        <v>0.28100000000000003</v>
      </c>
    </row>
  </sheetData>
  <sortState xmlns:xlrd2="http://schemas.microsoft.com/office/spreadsheetml/2017/richdata2" ref="A21:C26">
    <sortCondition ref="C19"/>
  </sortState>
  <pageMargins left="0.7" right="0.7" top="0.75" bottom="0.75" header="0.3" footer="0.3"/>
  <pageSetup paperSize="12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5"/>
  <sheetViews>
    <sheetView showGridLines="0" showRowColHeaders="0" topLeftCell="G1" zoomScale="94" zoomScaleNormal="94" workbookViewId="0">
      <selection activeCell="AB84" sqref="AB84"/>
    </sheetView>
  </sheetViews>
  <sheetFormatPr defaultRowHeight="15" x14ac:dyDescent="0.2"/>
  <sheetData>
    <row r="1" spans="8:28" x14ac:dyDescent="0.2">
      <c r="H1" s="16" t="s">
        <v>1068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8:28" x14ac:dyDescent="0.2"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8:28" x14ac:dyDescent="0.2"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8:28" x14ac:dyDescent="0.2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8:28" x14ac:dyDescent="0.2"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8:28" x14ac:dyDescent="0.2"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8:28" x14ac:dyDescent="0.2"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8:28" x14ac:dyDescent="0.2"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25" spans="1:7" x14ac:dyDescent="0.2">
      <c r="A25" t="s">
        <v>1053</v>
      </c>
      <c r="F25" t="s">
        <v>1052</v>
      </c>
      <c r="G25" t="s">
        <v>1052</v>
      </c>
    </row>
  </sheetData>
  <sheetProtection sheet="1" objects="1" scenarios="1"/>
  <mergeCells count="1">
    <mergeCell ref="H1:AB8"/>
  </mergeCells>
  <pageMargins left="0.7" right="0.7" top="0.75" bottom="0.75" header="0.3" footer="0.3"/>
  <pageSetup paperSize="12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RAW_DATA</vt:lpstr>
      <vt:lpstr>CLEANED_DATA</vt:lpstr>
      <vt:lpstr>ANALYSIS</vt:lpstr>
      <vt:lpstr>KPI</vt:lpstr>
      <vt:lpstr>CLEANED_DATA!Extract</vt:lpstr>
      <vt:lpstr>total_number_of_student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FORCAST SYSTEM</dc:creator>
  <cp:lastModifiedBy>Windows User</cp:lastModifiedBy>
  <dcterms:created xsi:type="dcterms:W3CDTF">2026-08-03T13:17:54Z</dcterms:created>
  <dcterms:modified xsi:type="dcterms:W3CDTF">2026-09-26T12:00:05Z</dcterms:modified>
</cp:coreProperties>
</file>